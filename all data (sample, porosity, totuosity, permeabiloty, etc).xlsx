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Alminnawi\Desktop\pipeline_publication\media\"/>
    </mc:Choice>
  </mc:AlternateContent>
  <xr:revisionPtr revIDLastSave="0" documentId="13_ncr:1_{7C43A0D0-3CC6-4536-8C4C-16AFCDA02933}" xr6:coauthVersionLast="36" xr6:coauthVersionMax="36" xr10:uidLastSave="{00000000-0000-0000-0000-000000000000}"/>
  <bookViews>
    <workbookView xWindow="0" yWindow="0" windowWidth="23040" windowHeight="9684" xr2:uid="{84163874-6044-477A-A47A-F09A9F14829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6" i="1" l="1"/>
  <c r="AA86" i="1"/>
  <c r="AB86" i="1"/>
  <c r="Z88" i="1"/>
  <c r="AA88" i="1"/>
  <c r="AB88" i="1"/>
  <c r="Z90" i="1"/>
  <c r="AA90" i="1"/>
  <c r="AB90" i="1"/>
  <c r="Z92" i="1"/>
  <c r="AA92" i="1"/>
  <c r="AB92" i="1"/>
  <c r="X86" i="1" l="1"/>
  <c r="T67" i="1"/>
  <c r="Y86" i="1"/>
  <c r="Y90" i="1" s="1"/>
  <c r="Y88" i="1"/>
  <c r="Y3" i="1"/>
  <c r="Y4" i="1"/>
  <c r="Y6" i="1"/>
  <c r="Y7" i="1"/>
  <c r="Y8" i="1"/>
  <c r="Y9" i="1"/>
  <c r="Y10" i="1"/>
  <c r="Y16" i="1"/>
  <c r="Y20" i="1"/>
  <c r="Y21" i="1"/>
  <c r="Y22" i="1"/>
  <c r="Y23" i="1"/>
  <c r="Y30" i="1"/>
  <c r="Y33" i="1"/>
  <c r="Y35" i="1"/>
  <c r="Y36" i="1"/>
  <c r="Y37" i="1"/>
  <c r="Y38" i="1"/>
  <c r="Y39" i="1"/>
  <c r="Y40" i="1"/>
  <c r="Y47" i="1"/>
  <c r="Y48" i="1"/>
  <c r="Y49" i="1"/>
  <c r="Y50" i="1"/>
  <c r="Y51" i="1"/>
  <c r="Y52" i="1"/>
  <c r="Y57" i="1"/>
  <c r="Y58" i="1"/>
  <c r="Y62" i="1"/>
  <c r="Y63" i="1"/>
  <c r="Y67" i="1"/>
  <c r="Y74" i="1"/>
  <c r="Y75" i="1"/>
  <c r="Y76" i="1"/>
  <c r="Y78" i="1"/>
  <c r="Y79" i="1"/>
  <c r="Y82" i="1"/>
  <c r="Y84" i="1"/>
  <c r="Y85" i="1"/>
  <c r="Y2" i="1"/>
  <c r="Y92" i="1" l="1"/>
  <c r="X92" i="1" l="1"/>
  <c r="X90" i="1"/>
  <c r="X8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2" i="1"/>
  <c r="K90" i="1" l="1"/>
  <c r="K92" i="1"/>
  <c r="H88" i="1" l="1"/>
  <c r="I88" i="1"/>
  <c r="L88" i="1"/>
  <c r="N88" i="1"/>
  <c r="O88" i="1"/>
  <c r="H86" i="1"/>
  <c r="I86" i="1"/>
  <c r="L86" i="1"/>
  <c r="N86" i="1"/>
  <c r="O86" i="1"/>
  <c r="O90" i="1" l="1"/>
  <c r="O92" i="1"/>
  <c r="N90" i="1"/>
  <c r="N92" i="1"/>
  <c r="L92" i="1"/>
  <c r="L90" i="1"/>
  <c r="I92" i="1"/>
  <c r="I90" i="1"/>
  <c r="H92" i="1"/>
  <c r="H9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2" i="1"/>
  <c r="P86" i="1" l="1"/>
  <c r="P92" i="1" s="1"/>
  <c r="P8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2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F88" i="1"/>
  <c r="F8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3" i="1"/>
  <c r="M4" i="1"/>
  <c r="M5" i="1"/>
  <c r="M6" i="1"/>
  <c r="M2" i="1"/>
  <c r="F92" i="1" l="1"/>
  <c r="F90" i="1"/>
  <c r="G88" i="1"/>
  <c r="G86" i="1"/>
  <c r="G92" i="1"/>
  <c r="G90" i="1"/>
  <c r="M88" i="1"/>
  <c r="M86" i="1"/>
  <c r="M90" i="1" s="1"/>
  <c r="M92" i="1"/>
  <c r="P90" i="1"/>
  <c r="Q86" i="1"/>
  <c r="Q90" i="1" s="1"/>
  <c r="Q88" i="1"/>
  <c r="J88" i="1"/>
  <c r="J92" i="1" s="1"/>
  <c r="J86" i="1"/>
  <c r="J90" i="1" s="1"/>
  <c r="AI2" i="1"/>
  <c r="AJ2" i="1" s="1"/>
  <c r="AI38" i="1"/>
  <c r="R82" i="1"/>
  <c r="S82" i="1" s="1"/>
  <c r="T82" i="1" s="1"/>
  <c r="V82" i="1" s="1"/>
  <c r="W80" i="1" s="1"/>
  <c r="R66" i="1"/>
  <c r="S66" i="1" s="1"/>
  <c r="T66" i="1" s="1"/>
  <c r="R50" i="1"/>
  <c r="S50" i="1" s="1"/>
  <c r="T50" i="1" s="1"/>
  <c r="V50" i="1" s="1"/>
  <c r="R34" i="1"/>
  <c r="S34" i="1" s="1"/>
  <c r="T34" i="1" s="1"/>
  <c r="R18" i="1"/>
  <c r="S18" i="1" s="1"/>
  <c r="T18" i="1" s="1"/>
  <c r="R81" i="1"/>
  <c r="S81" i="1" s="1"/>
  <c r="T81" i="1" s="1"/>
  <c r="R65" i="1"/>
  <c r="S65" i="1" s="1"/>
  <c r="T65" i="1" s="1"/>
  <c r="R49" i="1"/>
  <c r="S49" i="1" s="1"/>
  <c r="T49" i="1" s="1"/>
  <c r="V49" i="1" s="1"/>
  <c r="R33" i="1"/>
  <c r="S33" i="1" s="1"/>
  <c r="T33" i="1" s="1"/>
  <c r="V33" i="1" s="1"/>
  <c r="W32" i="1" s="1"/>
  <c r="R17" i="1"/>
  <c r="S17" i="1" s="1"/>
  <c r="T17" i="1" s="1"/>
  <c r="R64" i="1"/>
  <c r="S64" i="1" s="1"/>
  <c r="T64" i="1" s="1"/>
  <c r="R48" i="1"/>
  <c r="S48" i="1" s="1"/>
  <c r="T48" i="1" s="1"/>
  <c r="V48" i="1" s="1"/>
  <c r="R32" i="1"/>
  <c r="S32" i="1" s="1"/>
  <c r="T32" i="1" s="1"/>
  <c r="R16" i="1"/>
  <c r="S16" i="1" s="1"/>
  <c r="T16" i="1" s="1"/>
  <c r="V16" i="1" s="1"/>
  <c r="W14" i="1" s="1"/>
  <c r="AI53" i="1"/>
  <c r="AK53" i="1" s="1"/>
  <c r="AI5" i="1"/>
  <c r="AI68" i="1"/>
  <c r="AI20" i="1"/>
  <c r="R80" i="1"/>
  <c r="S80" i="1" s="1"/>
  <c r="T80" i="1" s="1"/>
  <c r="AI83" i="1"/>
  <c r="AJ83" i="1" s="1"/>
  <c r="AI35" i="1"/>
  <c r="AJ35" i="1" s="1"/>
  <c r="R79" i="1"/>
  <c r="S79" i="1" s="1"/>
  <c r="T79" i="1" s="1"/>
  <c r="V79" i="1" s="1"/>
  <c r="W77" i="1" s="1"/>
  <c r="R63" i="1"/>
  <c r="S63" i="1" s="1"/>
  <c r="T63" i="1" s="1"/>
  <c r="V63" i="1" s="1"/>
  <c r="R47" i="1"/>
  <c r="S47" i="1" s="1"/>
  <c r="T47" i="1" s="1"/>
  <c r="V47" i="1" s="1"/>
  <c r="W47" i="1" s="1"/>
  <c r="R31" i="1"/>
  <c r="S31" i="1" s="1"/>
  <c r="T31" i="1" s="1"/>
  <c r="R15" i="1"/>
  <c r="S15" i="1" s="1"/>
  <c r="T15" i="1" s="1"/>
  <c r="AI50" i="1"/>
  <c r="AJ50" i="1" s="1"/>
  <c r="R78" i="1"/>
  <c r="S78" i="1" s="1"/>
  <c r="T78" i="1" s="1"/>
  <c r="V78" i="1" s="1"/>
  <c r="R62" i="1"/>
  <c r="S62" i="1" s="1"/>
  <c r="T62" i="1" s="1"/>
  <c r="V62" i="1" s="1"/>
  <c r="R46" i="1"/>
  <c r="S46" i="1" s="1"/>
  <c r="T46" i="1" s="1"/>
  <c r="R30" i="1"/>
  <c r="S30" i="1" s="1"/>
  <c r="T30" i="1" s="1"/>
  <c r="V30" i="1" s="1"/>
  <c r="W29" i="1" s="1"/>
  <c r="R14" i="1"/>
  <c r="S14" i="1" s="1"/>
  <c r="T14" i="1" s="1"/>
  <c r="AI65" i="1"/>
  <c r="AI17" i="1"/>
  <c r="R77" i="1"/>
  <c r="S77" i="1" s="1"/>
  <c r="T77" i="1" s="1"/>
  <c r="R61" i="1"/>
  <c r="S61" i="1" s="1"/>
  <c r="T61" i="1" s="1"/>
  <c r="R45" i="1"/>
  <c r="S45" i="1" s="1"/>
  <c r="T45" i="1" s="1"/>
  <c r="R29" i="1"/>
  <c r="S29" i="1" s="1"/>
  <c r="T29" i="1" s="1"/>
  <c r="R13" i="1"/>
  <c r="S13" i="1" s="1"/>
  <c r="T13" i="1" s="1"/>
  <c r="AI80" i="1"/>
  <c r="AJ80" i="1" s="1"/>
  <c r="AI32" i="1"/>
  <c r="AJ32" i="1" s="1"/>
  <c r="R76" i="1"/>
  <c r="S76" i="1" s="1"/>
  <c r="T76" i="1" s="1"/>
  <c r="V76" i="1" s="1"/>
  <c r="R60" i="1"/>
  <c r="S60" i="1" s="1"/>
  <c r="T60" i="1" s="1"/>
  <c r="R44" i="1"/>
  <c r="S44" i="1" s="1"/>
  <c r="T44" i="1" s="1"/>
  <c r="R28" i="1"/>
  <c r="S28" i="1" s="1"/>
  <c r="T28" i="1" s="1"/>
  <c r="R12" i="1"/>
  <c r="S12" i="1" s="1"/>
  <c r="T12" i="1" s="1"/>
  <c r="AI47" i="1"/>
  <c r="AJ47" i="1" s="1"/>
  <c r="R75" i="1"/>
  <c r="S75" i="1" s="1"/>
  <c r="T75" i="1" s="1"/>
  <c r="V75" i="1" s="1"/>
  <c r="R59" i="1"/>
  <c r="S59" i="1" s="1"/>
  <c r="T59" i="1" s="1"/>
  <c r="R43" i="1"/>
  <c r="S43" i="1" s="1"/>
  <c r="T43" i="1" s="1"/>
  <c r="R27" i="1"/>
  <c r="S27" i="1" s="1"/>
  <c r="T27" i="1" s="1"/>
  <c r="R11" i="1"/>
  <c r="S11" i="1" s="1"/>
  <c r="T11" i="1" s="1"/>
  <c r="AI62" i="1"/>
  <c r="AK62" i="1" s="1"/>
  <c r="AI14" i="1"/>
  <c r="AJ14" i="1" s="1"/>
  <c r="R74" i="1"/>
  <c r="S74" i="1" s="1"/>
  <c r="T74" i="1" s="1"/>
  <c r="V74" i="1" s="1"/>
  <c r="R58" i="1"/>
  <c r="S58" i="1" s="1"/>
  <c r="T58" i="1" s="1"/>
  <c r="V58" i="1" s="1"/>
  <c r="R42" i="1"/>
  <c r="S42" i="1" s="1"/>
  <c r="T42" i="1" s="1"/>
  <c r="R26" i="1"/>
  <c r="S26" i="1" s="1"/>
  <c r="T26" i="1" s="1"/>
  <c r="R10" i="1"/>
  <c r="S10" i="1" s="1"/>
  <c r="T10" i="1" s="1"/>
  <c r="V10" i="1" s="1"/>
  <c r="AI77" i="1"/>
  <c r="AK77" i="1" s="1"/>
  <c r="AI29" i="1"/>
  <c r="AK29" i="1" s="1"/>
  <c r="R73" i="1"/>
  <c r="S73" i="1" s="1"/>
  <c r="T73" i="1" s="1"/>
  <c r="R57" i="1"/>
  <c r="S57" i="1" s="1"/>
  <c r="T57" i="1" s="1"/>
  <c r="V57" i="1" s="1"/>
  <c r="R41" i="1"/>
  <c r="S41" i="1" s="1"/>
  <c r="T41" i="1" s="1"/>
  <c r="R25" i="1"/>
  <c r="S25" i="1" s="1"/>
  <c r="T25" i="1" s="1"/>
  <c r="R9" i="1"/>
  <c r="S9" i="1" s="1"/>
  <c r="T9" i="1" s="1"/>
  <c r="V9" i="1" s="1"/>
  <c r="AI44" i="1"/>
  <c r="AJ44" i="1" s="1"/>
  <c r="R72" i="1"/>
  <c r="S72" i="1" s="1"/>
  <c r="T72" i="1" s="1"/>
  <c r="R56" i="1"/>
  <c r="S56" i="1" s="1"/>
  <c r="T56" i="1" s="1"/>
  <c r="R40" i="1"/>
  <c r="S40" i="1" s="1"/>
  <c r="T40" i="1" s="1"/>
  <c r="V40" i="1" s="1"/>
  <c r="R24" i="1"/>
  <c r="S24" i="1" s="1"/>
  <c r="T24" i="1" s="1"/>
  <c r="R8" i="1"/>
  <c r="S8" i="1" s="1"/>
  <c r="T8" i="1" s="1"/>
  <c r="V8" i="1" s="1"/>
  <c r="AI59" i="1"/>
  <c r="AK59" i="1" s="1"/>
  <c r="AI11" i="1"/>
  <c r="AJ11" i="1" s="1"/>
  <c r="R71" i="1"/>
  <c r="S71" i="1" s="1"/>
  <c r="T71" i="1" s="1"/>
  <c r="R55" i="1"/>
  <c r="S55" i="1" s="1"/>
  <c r="T55" i="1" s="1"/>
  <c r="R39" i="1"/>
  <c r="S39" i="1" s="1"/>
  <c r="T39" i="1" s="1"/>
  <c r="V39" i="1" s="1"/>
  <c r="R23" i="1"/>
  <c r="S23" i="1" s="1"/>
  <c r="T23" i="1" s="1"/>
  <c r="R7" i="1"/>
  <c r="S7" i="1" s="1"/>
  <c r="T7" i="1" s="1"/>
  <c r="V7" i="1" s="1"/>
  <c r="AI74" i="1"/>
  <c r="AI26" i="1"/>
  <c r="AK26" i="1" s="1"/>
  <c r="R2" i="1"/>
  <c r="R70" i="1"/>
  <c r="S70" i="1" s="1"/>
  <c r="T70" i="1" s="1"/>
  <c r="R54" i="1"/>
  <c r="S54" i="1" s="1"/>
  <c r="T54" i="1" s="1"/>
  <c r="R38" i="1"/>
  <c r="S38" i="1" s="1"/>
  <c r="T38" i="1" s="1"/>
  <c r="V38" i="1" s="1"/>
  <c r="R22" i="1"/>
  <c r="S22" i="1" s="1"/>
  <c r="T22" i="1" s="1"/>
  <c r="V22" i="1" s="1"/>
  <c r="R6" i="1"/>
  <c r="AI41" i="1"/>
  <c r="AJ41" i="1" s="1"/>
  <c r="R85" i="1"/>
  <c r="S85" i="1" s="1"/>
  <c r="T85" i="1" s="1"/>
  <c r="V85" i="1" s="1"/>
  <c r="R69" i="1"/>
  <c r="S69" i="1" s="1"/>
  <c r="T69" i="1" s="1"/>
  <c r="R53" i="1"/>
  <c r="S53" i="1" s="1"/>
  <c r="T53" i="1" s="1"/>
  <c r="R37" i="1"/>
  <c r="S37" i="1" s="1"/>
  <c r="T37" i="1" s="1"/>
  <c r="V37" i="1" s="1"/>
  <c r="R21" i="1"/>
  <c r="S21" i="1" s="1"/>
  <c r="T21" i="1" s="1"/>
  <c r="V21" i="1" s="1"/>
  <c r="R5" i="1"/>
  <c r="S5" i="1" s="1"/>
  <c r="T5" i="1" s="1"/>
  <c r="AI56" i="1"/>
  <c r="AK56" i="1" s="1"/>
  <c r="AI8" i="1"/>
  <c r="R84" i="1"/>
  <c r="S84" i="1" s="1"/>
  <c r="T84" i="1" s="1"/>
  <c r="V84" i="1" s="1"/>
  <c r="R68" i="1"/>
  <c r="S68" i="1" s="1"/>
  <c r="T68" i="1" s="1"/>
  <c r="R52" i="1"/>
  <c r="S52" i="1" s="1"/>
  <c r="T52" i="1" s="1"/>
  <c r="V52" i="1" s="1"/>
  <c r="R36" i="1"/>
  <c r="S36" i="1" s="1"/>
  <c r="T36" i="1" s="1"/>
  <c r="V36" i="1" s="1"/>
  <c r="R20" i="1"/>
  <c r="S20" i="1" s="1"/>
  <c r="T20" i="1" s="1"/>
  <c r="V20" i="1" s="1"/>
  <c r="R4" i="1"/>
  <c r="AI71" i="1"/>
  <c r="AK71" i="1" s="1"/>
  <c r="AI23" i="1"/>
  <c r="AK23" i="1" s="1"/>
  <c r="R83" i="1"/>
  <c r="S83" i="1" s="1"/>
  <c r="T83" i="1" s="1"/>
  <c r="U83" i="1" s="1"/>
  <c r="R67" i="1"/>
  <c r="S67" i="1" s="1"/>
  <c r="R51" i="1"/>
  <c r="S51" i="1" s="1"/>
  <c r="T51" i="1" s="1"/>
  <c r="V51" i="1" s="1"/>
  <c r="R35" i="1"/>
  <c r="S35" i="1" s="1"/>
  <c r="T35" i="1" s="1"/>
  <c r="R19" i="1"/>
  <c r="S19" i="1" s="1"/>
  <c r="T19" i="1" s="1"/>
  <c r="R3" i="1"/>
  <c r="S3" i="1" s="1"/>
  <c r="T3" i="1" s="1"/>
  <c r="V3" i="1" s="1"/>
  <c r="AJ38" i="1"/>
  <c r="AK38" i="1"/>
  <c r="AJ5" i="1"/>
  <c r="AK5" i="1"/>
  <c r="AK68" i="1"/>
  <c r="AJ68" i="1"/>
  <c r="AK20" i="1"/>
  <c r="AJ20" i="1"/>
  <c r="AJ65" i="1"/>
  <c r="AK65" i="1"/>
  <c r="AJ17" i="1"/>
  <c r="AK17" i="1"/>
  <c r="AK80" i="1"/>
  <c r="AK47" i="1"/>
  <c r="AK74" i="1"/>
  <c r="AJ74" i="1"/>
  <c r="AJ26" i="1"/>
  <c r="AJ56" i="1"/>
  <c r="AJ8" i="1"/>
  <c r="AK8" i="1"/>
  <c r="AG86" i="1"/>
  <c r="AH87" i="1" s="1"/>
  <c r="U65" i="1" l="1"/>
  <c r="V67" i="1"/>
  <c r="W65" i="1" s="1"/>
  <c r="S4" i="1"/>
  <c r="S6" i="1"/>
  <c r="W50" i="1"/>
  <c r="W38" i="1"/>
  <c r="W8" i="1"/>
  <c r="S2" i="1"/>
  <c r="R86" i="1"/>
  <c r="R92" i="1" s="1"/>
  <c r="R88" i="1"/>
  <c r="W56" i="1"/>
  <c r="W74" i="1"/>
  <c r="W20" i="1"/>
  <c r="U23" i="1"/>
  <c r="V23" i="1"/>
  <c r="W23" i="1" s="1"/>
  <c r="Q92" i="1"/>
  <c r="W62" i="1"/>
  <c r="W83" i="1"/>
  <c r="AJ62" i="1"/>
  <c r="U35" i="1"/>
  <c r="V35" i="1"/>
  <c r="W35" i="1" s="1"/>
  <c r="AK2" i="1"/>
  <c r="AK41" i="1"/>
  <c r="U62" i="1"/>
  <c r="U32" i="1"/>
  <c r="U29" i="1"/>
  <c r="U56" i="1"/>
  <c r="AK83" i="1"/>
  <c r="AK32" i="1"/>
  <c r="U17" i="1"/>
  <c r="U44" i="1"/>
  <c r="U53" i="1"/>
  <c r="U71" i="1"/>
  <c r="U8" i="1"/>
  <c r="U47" i="1"/>
  <c r="U26" i="1"/>
  <c r="AK44" i="1"/>
  <c r="U74" i="1"/>
  <c r="U11" i="1"/>
  <c r="U80" i="1"/>
  <c r="U50" i="1"/>
  <c r="U38" i="1"/>
  <c r="AJ53" i="1"/>
  <c r="U59" i="1"/>
  <c r="U20" i="1"/>
  <c r="U41" i="1"/>
  <c r="U14" i="1"/>
  <c r="U77" i="1"/>
  <c r="U68" i="1"/>
  <c r="AJ59" i="1"/>
  <c r="AJ71" i="1"/>
  <c r="AK14" i="1"/>
  <c r="AJ23" i="1"/>
  <c r="AK11" i="1"/>
  <c r="AJ29" i="1"/>
  <c r="AJ77" i="1"/>
  <c r="AK50" i="1"/>
  <c r="AK35" i="1"/>
  <c r="R90" i="1" l="1"/>
  <c r="T2" i="1"/>
  <c r="S88" i="1"/>
  <c r="S86" i="1"/>
  <c r="T6" i="1"/>
  <c r="S92" i="1"/>
  <c r="T4" i="1"/>
  <c r="S90" i="1"/>
  <c r="AK87" i="1"/>
  <c r="AK88" i="1" s="1"/>
  <c r="V4" i="1" l="1"/>
  <c r="V2" i="1"/>
  <c r="T88" i="1"/>
  <c r="T86" i="1"/>
  <c r="T90" i="1" s="1"/>
  <c r="U2" i="1"/>
  <c r="V6" i="1"/>
  <c r="T92" i="1"/>
  <c r="U5" i="1"/>
  <c r="U86" i="1" l="1"/>
  <c r="U88" i="1"/>
  <c r="W5" i="1"/>
  <c r="W2" i="1"/>
  <c r="V86" i="1"/>
  <c r="V90" i="1" s="1"/>
  <c r="V88" i="1"/>
  <c r="U92" i="1" l="1"/>
  <c r="V92" i="1"/>
  <c r="W88" i="1"/>
  <c r="W86" i="1"/>
  <c r="W90" i="1" s="1"/>
  <c r="U90" i="1"/>
  <c r="W9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Alminnawi</author>
  </authors>
  <commentList>
    <comment ref="E1" authorId="0" shapeId="0" xr:uid="{B925AE2A-0288-4609-BC17-83934D989C65}">
      <text>
        <r>
          <rPr>
            <b/>
            <sz val="9"/>
            <color indexed="81"/>
            <rFont val="Tahoma"/>
            <family val="2"/>
          </rPr>
          <t>Ahmad Alminnawi:</t>
        </r>
        <r>
          <rPr>
            <sz val="9"/>
            <color indexed="81"/>
            <rFont val="Tahoma"/>
            <family val="2"/>
          </rPr>
          <t xml:space="preserve">
left vs right arent always the same it depends on the orientation of the sample → take as 2x peripheral and 1x central in results</t>
        </r>
      </text>
    </comment>
    <comment ref="T1" authorId="0" shapeId="0" xr:uid="{A2DACE5A-54EB-493F-B849-D3FFF28972FD}">
      <text>
        <r>
          <rPr>
            <b/>
            <sz val="9"/>
            <color indexed="81"/>
            <rFont val="Tahoma"/>
            <family val="2"/>
          </rPr>
          <t>Ahmad Alminnawi:</t>
        </r>
        <r>
          <rPr>
            <sz val="9"/>
            <color indexed="81"/>
            <rFont val="Tahoma"/>
            <family val="2"/>
          </rPr>
          <t xml:space="preserve">
darcy units where 1Darcy = 0.9869 um2
1mD = 0.001D
</t>
        </r>
      </text>
    </comment>
    <comment ref="V1" authorId="0" shapeId="0" xr:uid="{129485A5-A8E6-4A85-ABCB-28A1BE3502EA}">
      <text>
        <r>
          <rPr>
            <b/>
            <sz val="9"/>
            <color indexed="81"/>
            <rFont val="Tahoma"/>
            <family val="2"/>
          </rPr>
          <t>Ahmad Alminnawi:</t>
        </r>
        <r>
          <rPr>
            <sz val="9"/>
            <color indexed="81"/>
            <rFont val="Tahoma"/>
            <family val="2"/>
          </rPr>
          <t xml:space="preserve">
darcy units where 1Darcy = 0.9869 um2
1mD = 0.001D
</t>
        </r>
      </text>
    </comment>
    <comment ref="X1" authorId="0" shapeId="0" xr:uid="{CCC9C841-B21D-4C52-B058-B4F81FD0C858}">
      <text>
        <r>
          <rPr>
            <b/>
            <sz val="9"/>
            <color indexed="81"/>
            <rFont val="Tahoma"/>
            <charset val="1"/>
          </rPr>
          <t>Ahmad Alminnawi:</t>
        </r>
        <r>
          <rPr>
            <sz val="9"/>
            <color indexed="81"/>
            <rFont val="Tahoma"/>
            <charset val="1"/>
          </rPr>
          <t xml:space="preserve">
divided by viscousity of water (1000)</t>
        </r>
      </text>
    </comment>
    <comment ref="Y1" authorId="0" shapeId="0" xr:uid="{A6407DE3-AB6E-4C7D-838E-74F73460A16E}">
      <text>
        <r>
          <rPr>
            <b/>
            <sz val="9"/>
            <color indexed="81"/>
            <rFont val="Tahoma"/>
            <family val="2"/>
          </rPr>
          <t>Ahmad Alminnawi:</t>
        </r>
        <r>
          <rPr>
            <sz val="9"/>
            <color indexed="81"/>
            <rFont val="Tahoma"/>
            <family val="2"/>
          </rPr>
          <t xml:space="preserve">
darcy units where 1Darcy = 0.9869 um2
1mD = 0.001D
</t>
        </r>
      </text>
    </comment>
  </commentList>
</comments>
</file>

<file path=xl/sharedStrings.xml><?xml version="1.0" encoding="utf-8"?>
<sst xmlns="http://schemas.openxmlformats.org/spreadsheetml/2006/main" count="300" uniqueCount="133">
  <si>
    <t>Bovine</t>
  </si>
  <si>
    <t>Sample</t>
  </si>
  <si>
    <t>side</t>
  </si>
  <si>
    <t>porosity</t>
  </si>
  <si>
    <t>percolation</t>
  </si>
  <si>
    <t>average tortuosity</t>
  </si>
  <si>
    <t>porosity (%)</t>
  </si>
  <si>
    <t>average pore diameter (mm)</t>
  </si>
  <si>
    <t>left</t>
  </si>
  <si>
    <t>right</t>
  </si>
  <si>
    <t>center</t>
  </si>
  <si>
    <t>AVERAGE</t>
  </si>
  <si>
    <t>STANDARD DEVIATION</t>
  </si>
  <si>
    <t>YES</t>
  </si>
  <si>
    <t>NO</t>
  </si>
  <si>
    <t>number of diameters detected</t>
  </si>
  <si>
    <t>average pore radius (mm)</t>
  </si>
  <si>
    <t>PERCENTAGE OF YES/NO</t>
  </si>
  <si>
    <t>total</t>
  </si>
  <si>
    <t>67.86% (19/28) of the endplates showed percolation but only 47.62% (40/84) of the samples showed perculation (some endplates didn’t have perculation in all 3 of their samples)</t>
  </si>
  <si>
    <t>average path length (mm)</t>
  </si>
  <si>
    <r>
      <t>specific surface area (mm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</si>
  <si>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permeability (mm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</si>
  <si>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surface area of interface (mm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</si>
  <si>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Solid phase volume (mm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</si>
  <si>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pore - fluid phase volume (mm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</si>
  <si>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permeability 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</si>
  <si>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permeability (mD)</t>
  </si>
  <si>
    <t>name</t>
  </si>
  <si>
    <t>T5_CEP_1B_L</t>
  </si>
  <si>
    <t>T5_CEP_1B_M</t>
  </si>
  <si>
    <t>T5_CEP_1B_R</t>
  </si>
  <si>
    <t>T5_CEP_2B_L</t>
  </si>
  <si>
    <t>T5_CEP_2B_M</t>
  </si>
  <si>
    <t>T5_CEP_2B_R</t>
  </si>
  <si>
    <t>T5_CEP_2T_L</t>
  </si>
  <si>
    <t>T5_CEP_2T_M</t>
  </si>
  <si>
    <t>T5_CEP_2T_R</t>
  </si>
  <si>
    <t>T5_CEP_3B_L</t>
  </si>
  <si>
    <t>T5_CEP_3B_M</t>
  </si>
  <si>
    <t>T5_CEP_3B_R</t>
  </si>
  <si>
    <t>T5_CEP_3T_L</t>
  </si>
  <si>
    <t>T5_CEP_3T_M</t>
  </si>
  <si>
    <t>T5_CEP_3T_R</t>
  </si>
  <si>
    <t>T5_CEP_4B_L</t>
  </si>
  <si>
    <t>T5_CEP_4B_M</t>
  </si>
  <si>
    <t>T5_CEP_4B_R</t>
  </si>
  <si>
    <t>T5_CEP_4T_L</t>
  </si>
  <si>
    <t>T5_CEP_4T_M</t>
  </si>
  <si>
    <t>T5_CEP_4T_R</t>
  </si>
  <si>
    <t>T1_CEP1_L</t>
  </si>
  <si>
    <t>T1_CEP1_M</t>
  </si>
  <si>
    <t>T1_CEP1_R</t>
  </si>
  <si>
    <t>T1_CEP2_L</t>
  </si>
  <si>
    <t>T1_CEP2_M</t>
  </si>
  <si>
    <t>T1_CEP2_R</t>
  </si>
  <si>
    <t>T1_CEP3_L</t>
  </si>
  <si>
    <t>T1_CEP3_M</t>
  </si>
  <si>
    <t>T1_CEP3_R</t>
  </si>
  <si>
    <t>T1_CEP4_L</t>
  </si>
  <si>
    <t>T1_CEP4_M</t>
  </si>
  <si>
    <t>T1_CEP4_R</t>
  </si>
  <si>
    <t>T1_CEP5_L</t>
  </si>
  <si>
    <t>T1_CEP5_M</t>
  </si>
  <si>
    <t>T1_CEP5_R</t>
  </si>
  <si>
    <t>T1_CEP6_L</t>
  </si>
  <si>
    <t>T1_CEP6_M</t>
  </si>
  <si>
    <t>T1_CEP6_R</t>
  </si>
  <si>
    <t>T3_CEP_1B_L</t>
  </si>
  <si>
    <t>T3_CEP_1B_M</t>
  </si>
  <si>
    <t>T3_CEP_1B_R</t>
  </si>
  <si>
    <t>T3_CEP_1T_L</t>
  </si>
  <si>
    <t>T3_CEP_1T_M</t>
  </si>
  <si>
    <t>T3_CEP_1T_R</t>
  </si>
  <si>
    <t>T3_CEP_2B_L</t>
  </si>
  <si>
    <t>T3_CEP_2B_M</t>
  </si>
  <si>
    <t>T3_CEP_2B_R</t>
  </si>
  <si>
    <t>T3_CEP_2T_L</t>
  </si>
  <si>
    <t>T3_CEP_2T_M</t>
  </si>
  <si>
    <t>T3_CEP_2T_R</t>
  </si>
  <si>
    <t>T3_CEP_3B_L</t>
  </si>
  <si>
    <t>T3_CEP_3B_M</t>
  </si>
  <si>
    <t>T3_CEP_3B_R</t>
  </si>
  <si>
    <t>T3_CEP_3T_L</t>
  </si>
  <si>
    <t>T3_CEP_3T_M</t>
  </si>
  <si>
    <t>T3_CEP_3T_R</t>
  </si>
  <si>
    <t>T3_CEP_4B_L</t>
  </si>
  <si>
    <t>T3_CEP_4B_M</t>
  </si>
  <si>
    <t>T3_CEP_4B_R</t>
  </si>
  <si>
    <t>T3_CEP_4T_L</t>
  </si>
  <si>
    <t>T3_CEP_4T_M</t>
  </si>
  <si>
    <t>T3_CEP_4T_R</t>
  </si>
  <si>
    <t>T4_CEP_1T_L</t>
  </si>
  <si>
    <t>T4_CEP_1T_M</t>
  </si>
  <si>
    <t>T4_CEP_1T_R</t>
  </si>
  <si>
    <t>T4_CEP_2T_L</t>
  </si>
  <si>
    <t>T4_CEP_2T_M</t>
  </si>
  <si>
    <t>T4_CEP_2T_R</t>
  </si>
  <si>
    <t>T4_CEP_2B_L</t>
  </si>
  <si>
    <t>T4_CEP_2B_M</t>
  </si>
  <si>
    <t>T4_CEP_2B_R</t>
  </si>
  <si>
    <t>T4_CEP_3B_L</t>
  </si>
  <si>
    <t>T4_CEP_3B_M</t>
  </si>
  <si>
    <t>T4_CEP_3B_R</t>
  </si>
  <si>
    <t>T4_CEP_3T_L</t>
  </si>
  <si>
    <t>T4_CEP_3T_M</t>
  </si>
  <si>
    <t>T4_CEP_3T_R</t>
  </si>
  <si>
    <t>T4_CEP_4B_L</t>
  </si>
  <si>
    <t>T4_CEP_4B_M</t>
  </si>
  <si>
    <t>T4_CEP_4B_R</t>
  </si>
  <si>
    <t>T4_CEP_4T_L</t>
  </si>
  <si>
    <t>T4_CEP_4T_M</t>
  </si>
  <si>
    <t>T4_CEP_4T_R</t>
  </si>
  <si>
    <t>Tail 5</t>
  </si>
  <si>
    <t>Bovine 4</t>
  </si>
  <si>
    <t>Tail</t>
  </si>
  <si>
    <t>Tail 4</t>
  </si>
  <si>
    <t>Bovine 3</t>
  </si>
  <si>
    <t>Tail 3</t>
  </si>
  <si>
    <t>Bovine 2</t>
  </si>
  <si>
    <t xml:space="preserve"> Tail 1</t>
  </si>
  <si>
    <t>Bovine 1</t>
  </si>
  <si>
    <t>N/A</t>
  </si>
  <si>
    <t>MIN</t>
  </si>
  <si>
    <t>MAX</t>
  </si>
  <si>
    <t>average intrinsic permeability (mD)</t>
  </si>
  <si>
    <t>Functional intrinsic permeability (mD)</t>
  </si>
  <si>
    <t>Functional permeability (mD)</t>
  </si>
  <si>
    <t xml:space="preserve"> hydraulic permeability (m4/Ns)</t>
  </si>
  <si>
    <t>Functional hydraulic permeability (m4/Ns)</t>
  </si>
  <si>
    <t>density (g/cm3)</t>
  </si>
  <si>
    <t>strength (MPa)</t>
  </si>
  <si>
    <t>elasticity (GPa)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</si>
</sst>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7AA1-91F2-4424-A7CD-A27A337589DF}">
  <dimension ref="A1:AK93"/>
  <sheetViews>
    <sheetView tabSelected="1" zoomScaleNormal="100" workbookViewId="0">
      <pane ySplit="1" topLeftCell="A2" activePane="bottomLeft" state="frozen"/>
      <selection activeCell="C1" sqref="C1"/>
      <selection pane="bottomLeft" activeCell="E1" sqref="E1"/>
    </sheetView>
  </sheetViews>
  <sheetFormatPr defaultRowHeight="14.4" x14ac:dyDescent="0.3"/>
  <cols>
    <col min="1" max="1" width="8" style="1" customWidth="1"/>
    <col min="2" max="2" width="8" style="6" customWidth="1"/>
    <col min="3" max="3" width="6.88671875" style="1" customWidth="1"/>
    <col min="4" max="4" width="12.88671875" style="5" bestFit="1" customWidth="1"/>
    <col min="5" max="5" width="7.109375" style="1" bestFit="1" customWidth="1"/>
    <col min="6" max="6" width="12" style="1" customWidth="1"/>
    <col min="7" max="7" width="12" style="2" customWidth="1"/>
    <col min="8" max="8" width="27.88671875" style="1" customWidth="1"/>
    <col min="9" max="9" width="23.44140625" style="1" customWidth="1"/>
    <col min="10" max="10" width="26.21875" style="1" customWidth="1"/>
    <col min="11" max="11" width="12" style="1" bestFit="1" customWidth="1"/>
    <col min="12" max="12" width="23.5546875" style="1" customWidth="1"/>
    <col min="13" max="13" width="16.88671875" style="1" customWidth="1"/>
    <col min="14" max="14" width="28.21875" style="1" bestFit="1" customWidth="1"/>
    <col min="15" max="15" width="29.5546875" style="3" bestFit="1" customWidth="1"/>
    <col min="16" max="16" width="24" style="1" bestFit="1" customWidth="1"/>
    <col min="17" max="17" width="25.109375" style="1" bestFit="1" customWidth="1"/>
    <col min="18" max="18" width="18.21875" style="4" bestFit="1" customWidth="1"/>
    <col min="19" max="19" width="17.6640625" style="1" bestFit="1" customWidth="1"/>
    <col min="20" max="20" width="17.109375" style="4" bestFit="1" customWidth="1"/>
    <col min="21" max="21" width="32.109375" style="3" bestFit="1" customWidth="1"/>
    <col min="22" max="22" width="43" style="6" bestFit="1" customWidth="1"/>
    <col min="23" max="23" width="27.109375" style="6" bestFit="1" customWidth="1"/>
    <col min="24" max="24" width="29.6640625" style="7" bestFit="1" customWidth="1"/>
    <col min="25" max="25" width="39.33203125" style="7" bestFit="1" customWidth="1"/>
    <col min="26" max="26" width="15.21875" style="7" bestFit="1" customWidth="1"/>
    <col min="27" max="29" width="15.21875" style="13" customWidth="1"/>
    <col min="30" max="30" width="16.5546875" style="3" customWidth="1"/>
    <col min="31" max="32" width="8.88671875" style="1"/>
    <col min="33" max="33" width="21.6640625" style="1" bestFit="1" customWidth="1"/>
    <col min="34" max="34" width="8.88671875" style="1"/>
    <col min="35" max="35" width="10.33203125" style="2" bestFit="1" customWidth="1"/>
    <col min="36" max="36" width="10.33203125" style="1" bestFit="1" customWidth="1"/>
    <col min="37" max="16384" width="8.88671875" style="1"/>
  </cols>
  <sheetData>
    <row r="1" spans="1:37" ht="16.8" thickBot="1" x14ac:dyDescent="0.35">
      <c r="A1" s="36" t="s">
        <v>115</v>
      </c>
      <c r="B1" s="37" t="s">
        <v>0</v>
      </c>
      <c r="C1" s="37" t="s">
        <v>1</v>
      </c>
      <c r="D1" s="37" t="s">
        <v>28</v>
      </c>
      <c r="E1" s="37" t="s">
        <v>2</v>
      </c>
      <c r="F1" s="37" t="s">
        <v>6</v>
      </c>
      <c r="G1" s="37" t="s">
        <v>3</v>
      </c>
      <c r="H1" s="37" t="s">
        <v>15</v>
      </c>
      <c r="I1" s="37" t="s">
        <v>16</v>
      </c>
      <c r="J1" s="37" t="s">
        <v>7</v>
      </c>
      <c r="K1" s="37" t="s">
        <v>4</v>
      </c>
      <c r="L1" s="37" t="s">
        <v>20</v>
      </c>
      <c r="M1" s="37" t="s">
        <v>5</v>
      </c>
      <c r="N1" s="37" t="s">
        <v>23</v>
      </c>
      <c r="O1" s="37" t="s">
        <v>25</v>
      </c>
      <c r="P1" s="37" t="s">
        <v>24</v>
      </c>
      <c r="Q1" s="37" t="s">
        <v>21</v>
      </c>
      <c r="R1" s="37" t="s">
        <v>22</v>
      </c>
      <c r="S1" s="37" t="s">
        <v>26</v>
      </c>
      <c r="T1" s="37" t="s">
        <v>27</v>
      </c>
      <c r="U1" s="37" t="s">
        <v>125</v>
      </c>
      <c r="V1" s="37" t="s">
        <v>126</v>
      </c>
      <c r="W1" s="37" t="s">
        <v>127</v>
      </c>
      <c r="X1" s="37" t="s">
        <v>128</v>
      </c>
      <c r="Y1" s="37" t="s">
        <v>129</v>
      </c>
      <c r="Z1" s="37" t="s">
        <v>130</v>
      </c>
      <c r="AA1" s="37" t="s">
        <v>131</v>
      </c>
      <c r="AB1" s="38" t="s">
        <v>132</v>
      </c>
      <c r="AC1" s="14"/>
      <c r="AD1" s="4"/>
      <c r="AG1" s="1" t="s">
        <v>4</v>
      </c>
      <c r="AI1" s="2" t="s">
        <v>4</v>
      </c>
      <c r="AJ1" s="2" t="s">
        <v>4</v>
      </c>
    </row>
    <row r="2" spans="1:37" x14ac:dyDescent="0.3">
      <c r="A2" s="19" t="s">
        <v>120</v>
      </c>
      <c r="B2" s="39" t="s">
        <v>121</v>
      </c>
      <c r="C2" s="15">
        <v>1</v>
      </c>
      <c r="D2" s="8" t="s">
        <v>50</v>
      </c>
      <c r="E2" s="8" t="s">
        <v>8</v>
      </c>
      <c r="F2" s="8">
        <v>41.8127006599928</v>
      </c>
      <c r="G2" s="8">
        <f>F2/100</f>
        <v>0.41812700659992802</v>
      </c>
      <c r="H2" s="8">
        <v>3142</v>
      </c>
      <c r="I2" s="8">
        <v>2.5606316627774111E-2</v>
      </c>
      <c r="J2" s="8">
        <f>I2*2</f>
        <v>5.1212633255548222E-2</v>
      </c>
      <c r="K2" s="8" t="s">
        <v>13</v>
      </c>
      <c r="L2" s="8">
        <v>2.6397377478284931</v>
      </c>
      <c r="M2" s="8">
        <f>L2/1</f>
        <v>2.6397377478284931</v>
      </c>
      <c r="N2" s="8">
        <v>9.3588446532542164</v>
      </c>
      <c r="O2" s="8">
        <v>0.32820021077673339</v>
      </c>
      <c r="P2" s="8">
        <f>PI()/4-O2</f>
        <v>0.45719795262071489</v>
      </c>
      <c r="Q2" s="8">
        <f t="shared" ref="Q2:Q33" si="0">N2/P2</f>
        <v>20.470005606123493</v>
      </c>
      <c r="R2" s="8">
        <f>G2^3/5/(1-G2)^2/Q2^2/M2^2</f>
        <v>1.4789066556887433E-5</v>
      </c>
      <c r="S2" s="8">
        <f>R2*1000</f>
        <v>1.4789066556887432E-2</v>
      </c>
      <c r="T2" s="8">
        <f>S2/0.9869*1000</f>
        <v>14.985374968981084</v>
      </c>
      <c r="U2" s="15">
        <f>AVERAGE(T2:T4)</f>
        <v>5.6949508973614984</v>
      </c>
      <c r="V2" s="8">
        <f t="shared" ref="V2:V33" si="1">IF(K2="YES",T2,0)</f>
        <v>14.985374968981084</v>
      </c>
      <c r="W2" s="15">
        <f>AVERAGE(V2:V4)</f>
        <v>5.6949508973614984</v>
      </c>
      <c r="X2" s="8">
        <f>R2/1000000*1000</f>
        <v>1.4789066556887433E-8</v>
      </c>
      <c r="Y2" s="8">
        <f>IF(K2="YES",X2,0)</f>
        <v>1.4789066556887433E-8</v>
      </c>
      <c r="Z2" s="8">
        <v>1.2801205854801583</v>
      </c>
      <c r="AA2" s="8">
        <v>10.980499566859924</v>
      </c>
      <c r="AB2" s="10">
        <v>0.18877251484060092</v>
      </c>
      <c r="AC2" s="14"/>
      <c r="AD2" s="4"/>
      <c r="AG2" s="1">
        <f t="shared" ref="AG2:AG33" si="2">IF(K2="YES",1,0)</f>
        <v>1</v>
      </c>
      <c r="AI2" s="22">
        <f>AG2+AG3+AG4</f>
        <v>3</v>
      </c>
      <c r="AJ2" s="24">
        <f>AI2/3*100</f>
        <v>100</v>
      </c>
      <c r="AK2" s="24">
        <f>IF(AI2=0,0,1)</f>
        <v>1</v>
      </c>
    </row>
    <row r="3" spans="1:37" x14ac:dyDescent="0.3">
      <c r="A3" s="20"/>
      <c r="B3" s="34"/>
      <c r="C3" s="22"/>
      <c r="D3" s="14" t="s">
        <v>51</v>
      </c>
      <c r="E3" s="14" t="s">
        <v>10</v>
      </c>
      <c r="F3" s="14">
        <v>31.012809193532899</v>
      </c>
      <c r="G3" s="14">
        <f t="shared" ref="G3:G66" si="3">F3/100</f>
        <v>0.31012809193532898</v>
      </c>
      <c r="H3" s="14">
        <v>15871</v>
      </c>
      <c r="I3" s="14">
        <v>9.5344504094703568E-3</v>
      </c>
      <c r="J3" s="14">
        <f t="shared" ref="J3:J66" si="4">I3*2</f>
        <v>1.9068900818940714E-2</v>
      </c>
      <c r="K3" s="14" t="s">
        <v>13</v>
      </c>
      <c r="L3" s="14">
        <v>3.8689892001839592</v>
      </c>
      <c r="M3" s="14">
        <f t="shared" ref="M3:M66" si="5">L3/1</f>
        <v>3.8689892001839592</v>
      </c>
      <c r="N3" s="14">
        <v>16.84667391238159</v>
      </c>
      <c r="O3" s="14">
        <v>0.2359877230752761</v>
      </c>
      <c r="P3" s="14">
        <f t="shared" ref="P3:P66" si="6">PI()/4-O3</f>
        <v>0.54941044032217223</v>
      </c>
      <c r="Q3" s="14">
        <f t="shared" si="0"/>
        <v>30.663184890521489</v>
      </c>
      <c r="R3" s="14">
        <f t="shared" ref="R3:R66" si="7">G3^3/5/(1-G3)^2/Q3^2/M3^2</f>
        <v>8.906085039173311E-7</v>
      </c>
      <c r="S3" s="14">
        <f t="shared" ref="S3:S66" si="8">R3*1000</f>
        <v>8.9060850391733113E-4</v>
      </c>
      <c r="T3" s="14">
        <f t="shared" ref="T3:T66" si="9">S3/0.9869*1000</f>
        <v>0.90243034138953404</v>
      </c>
      <c r="U3" s="22"/>
      <c r="V3" s="14">
        <f t="shared" si="1"/>
        <v>0.90243034138953404</v>
      </c>
      <c r="W3" s="22"/>
      <c r="X3" s="14">
        <f t="shared" ref="X3:X66" si="10">R3/1000000*1000</f>
        <v>8.9060850391733116E-10</v>
      </c>
      <c r="Y3" s="14">
        <f t="shared" ref="Y3:Y63" si="11">IF(K3="YES",X3,0)</f>
        <v>8.9060850391733116E-10</v>
      </c>
      <c r="Z3" s="14">
        <v>1.5177181977422765</v>
      </c>
      <c r="AA3" s="14">
        <v>23.385433665125003</v>
      </c>
      <c r="AB3" s="12">
        <v>0.61261141920599882</v>
      </c>
      <c r="AC3" s="14"/>
      <c r="AD3" s="4"/>
      <c r="AG3" s="1">
        <f t="shared" si="2"/>
        <v>1</v>
      </c>
      <c r="AI3" s="22"/>
      <c r="AJ3" s="24"/>
      <c r="AK3" s="24"/>
    </row>
    <row r="4" spans="1:37" x14ac:dyDescent="0.3">
      <c r="A4" s="20"/>
      <c r="B4" s="34"/>
      <c r="C4" s="22"/>
      <c r="D4" s="14" t="s">
        <v>52</v>
      </c>
      <c r="E4" s="14" t="s">
        <v>9</v>
      </c>
      <c r="F4" s="14">
        <v>36.4138337463299</v>
      </c>
      <c r="G4" s="14">
        <f t="shared" si="3"/>
        <v>0.36413833746329899</v>
      </c>
      <c r="H4" s="14">
        <v>13737</v>
      </c>
      <c r="I4" s="14">
        <v>1.0288893874941821E-2</v>
      </c>
      <c r="J4" s="14">
        <f t="shared" si="4"/>
        <v>2.0577787749883641E-2</v>
      </c>
      <c r="K4" s="14" t="s">
        <v>13</v>
      </c>
      <c r="L4" s="14">
        <v>4.3147958208093069</v>
      </c>
      <c r="M4" s="14">
        <f t="shared" si="5"/>
        <v>4.3147958208093069</v>
      </c>
      <c r="N4" s="14">
        <v>16.614142560972471</v>
      </c>
      <c r="O4" s="14">
        <v>0.28122646499432608</v>
      </c>
      <c r="P4" s="14">
        <f t="shared" si="6"/>
        <v>0.50417169840312215</v>
      </c>
      <c r="Q4" s="14">
        <f t="shared" si="0"/>
        <v>32.953342310952664</v>
      </c>
      <c r="R4" s="14">
        <f t="shared" si="7"/>
        <v>1.1813660610134274E-6</v>
      </c>
      <c r="S4" s="14">
        <f t="shared" si="8"/>
        <v>1.1813660610134275E-3</v>
      </c>
      <c r="T4" s="14">
        <f t="shared" si="9"/>
        <v>1.1970473817138794</v>
      </c>
      <c r="U4" s="22"/>
      <c r="V4" s="14">
        <f t="shared" si="1"/>
        <v>1.1970473817138794</v>
      </c>
      <c r="W4" s="22"/>
      <c r="X4" s="14">
        <f t="shared" si="10"/>
        <v>1.1813660610134274E-9</v>
      </c>
      <c r="Y4" s="14">
        <f t="shared" si="11"/>
        <v>1.1813660610134274E-9</v>
      </c>
      <c r="Z4" s="14">
        <v>1.3988956575807425</v>
      </c>
      <c r="AA4" s="14">
        <v>16.02326320989301</v>
      </c>
      <c r="AB4" s="12">
        <v>0.34002500483159392</v>
      </c>
      <c r="AC4" s="14"/>
      <c r="AD4" s="4"/>
      <c r="AG4" s="1">
        <f t="shared" si="2"/>
        <v>1</v>
      </c>
      <c r="AI4" s="22"/>
      <c r="AJ4" s="24"/>
      <c r="AK4" s="24"/>
    </row>
    <row r="5" spans="1:37" ht="14.4" customHeight="1" x14ac:dyDescent="0.3">
      <c r="A5" s="20"/>
      <c r="B5" s="34"/>
      <c r="C5" s="22">
        <v>2</v>
      </c>
      <c r="D5" s="14" t="s">
        <v>53</v>
      </c>
      <c r="E5" s="14" t="s">
        <v>8</v>
      </c>
      <c r="F5" s="14">
        <v>37.831611964085901</v>
      </c>
      <c r="G5" s="14">
        <f t="shared" si="3"/>
        <v>0.37831611964085904</v>
      </c>
      <c r="H5" s="14">
        <v>2704</v>
      </c>
      <c r="I5" s="14">
        <v>2.3830547369039851E-2</v>
      </c>
      <c r="J5" s="14">
        <f t="shared" si="4"/>
        <v>4.7661094738079703E-2</v>
      </c>
      <c r="K5" s="14" t="s">
        <v>14</v>
      </c>
      <c r="L5" s="14">
        <v>1.605410772583844</v>
      </c>
      <c r="M5" s="14">
        <f t="shared" si="5"/>
        <v>1.605410772583844</v>
      </c>
      <c r="N5" s="14">
        <v>8.4681603809232442</v>
      </c>
      <c r="O5" s="14">
        <v>0.29706435384480362</v>
      </c>
      <c r="P5" s="14">
        <f t="shared" si="6"/>
        <v>0.48833380955264466</v>
      </c>
      <c r="Q5" s="14">
        <f t="shared" si="0"/>
        <v>17.340925848818046</v>
      </c>
      <c r="R5" s="14">
        <f t="shared" si="7"/>
        <v>3.615250657616661E-5</v>
      </c>
      <c r="S5" s="14">
        <f t="shared" si="8"/>
        <v>3.6152506576166608E-2</v>
      </c>
      <c r="T5" s="14">
        <f t="shared" si="9"/>
        <v>36.632390896916206</v>
      </c>
      <c r="U5" s="22">
        <f t="shared" ref="U5:W5" si="12">AVERAGE(T5:T7)</f>
        <v>16.270236128554341</v>
      </c>
      <c r="V5" s="14"/>
      <c r="W5" s="22">
        <f t="shared" si="12"/>
        <v>6.0891587443734068</v>
      </c>
      <c r="X5" s="14">
        <f t="shared" si="10"/>
        <v>3.6152506576166615E-8</v>
      </c>
      <c r="Y5" s="14"/>
      <c r="Z5" s="14">
        <v>1.3677045367901102</v>
      </c>
      <c r="AA5" s="14">
        <v>14.509406186864943</v>
      </c>
      <c r="AB5" s="12">
        <v>0.29133719230356336</v>
      </c>
      <c r="AC5" s="14"/>
      <c r="AD5" s="4"/>
      <c r="AG5" s="1">
        <f t="shared" si="2"/>
        <v>0</v>
      </c>
      <c r="AI5" s="22">
        <f t="shared" ref="AI5" si="13">AG5+AG6+AG7</f>
        <v>2</v>
      </c>
      <c r="AJ5" s="24">
        <f t="shared" ref="AJ5" si="14">AI5/3*100</f>
        <v>66.666666666666657</v>
      </c>
      <c r="AK5" s="24">
        <f t="shared" ref="AK5" si="15">IF(AI5=0,0,1)</f>
        <v>1</v>
      </c>
    </row>
    <row r="6" spans="1:37" x14ac:dyDescent="0.3">
      <c r="A6" s="20"/>
      <c r="B6" s="34"/>
      <c r="C6" s="22"/>
      <c r="D6" s="14" t="s">
        <v>54</v>
      </c>
      <c r="E6" s="14" t="s">
        <v>10</v>
      </c>
      <c r="F6" s="14">
        <v>26.850133682100001</v>
      </c>
      <c r="G6" s="14">
        <f t="shared" si="3"/>
        <v>0.26850133682100003</v>
      </c>
      <c r="H6" s="14">
        <v>4903</v>
      </c>
      <c r="I6" s="14">
        <v>1.51074291000828E-2</v>
      </c>
      <c r="J6" s="14">
        <f t="shared" si="4"/>
        <v>3.02148582001656E-2</v>
      </c>
      <c r="K6" s="14" t="s">
        <v>13</v>
      </c>
      <c r="L6" s="14">
        <v>2.462658987301872</v>
      </c>
      <c r="M6" s="14">
        <f t="shared" si="5"/>
        <v>2.462658987301872</v>
      </c>
      <c r="N6" s="14">
        <v>8.2417704670088963</v>
      </c>
      <c r="O6" s="14">
        <v>0.20611475400600321</v>
      </c>
      <c r="P6" s="14">
        <f t="shared" si="6"/>
        <v>0.57928340939144507</v>
      </c>
      <c r="Q6" s="14">
        <f t="shared" si="0"/>
        <v>14.227527205840623</v>
      </c>
      <c r="R6" s="14">
        <f t="shared" si="7"/>
        <v>5.8935215244286708E-6</v>
      </c>
      <c r="S6" s="14">
        <f t="shared" si="8"/>
        <v>5.8935215244286712E-3</v>
      </c>
      <c r="T6" s="14">
        <f t="shared" si="9"/>
        <v>5.9717514686682245</v>
      </c>
      <c r="U6" s="22"/>
      <c r="V6" s="14">
        <f t="shared" si="1"/>
        <v>5.9717514686682245</v>
      </c>
      <c r="W6" s="22"/>
      <c r="X6" s="14">
        <f t="shared" si="10"/>
        <v>5.8935215244286711E-9</v>
      </c>
      <c r="Y6" s="14">
        <f t="shared" si="11"/>
        <v>5.8935215244286711E-9</v>
      </c>
      <c r="Z6" s="14">
        <v>1.6092970589938</v>
      </c>
      <c r="AA6" s="14">
        <v>31.296323212329575</v>
      </c>
      <c r="AB6" s="12">
        <v>0.96435787517809768</v>
      </c>
      <c r="AC6" s="14"/>
      <c r="AD6" s="4"/>
      <c r="AG6" s="1">
        <f t="shared" si="2"/>
        <v>1</v>
      </c>
      <c r="AI6" s="22"/>
      <c r="AJ6" s="24"/>
      <c r="AK6" s="24"/>
    </row>
    <row r="7" spans="1:37" x14ac:dyDescent="0.3">
      <c r="A7" s="20"/>
      <c r="B7" s="34"/>
      <c r="C7" s="22"/>
      <c r="D7" s="14" t="s">
        <v>55</v>
      </c>
      <c r="E7" s="14" t="s">
        <v>9</v>
      </c>
      <c r="F7" s="14">
        <v>33.942537395665603</v>
      </c>
      <c r="G7" s="14">
        <f t="shared" si="3"/>
        <v>0.33942537395665601</v>
      </c>
      <c r="H7" s="14">
        <v>4236</v>
      </c>
      <c r="I7" s="14">
        <v>1.865298714510814E-2</v>
      </c>
      <c r="J7" s="14">
        <f t="shared" si="4"/>
        <v>3.730597429021628E-2</v>
      </c>
      <c r="K7" s="14" t="s">
        <v>13</v>
      </c>
      <c r="L7" s="14">
        <v>3.1250788482586089</v>
      </c>
      <c r="M7" s="14">
        <f t="shared" si="5"/>
        <v>3.1250788482586089</v>
      </c>
      <c r="N7" s="14">
        <v>9.02235271556345</v>
      </c>
      <c r="O7" s="14">
        <v>0.26416327537338408</v>
      </c>
      <c r="P7" s="14">
        <f t="shared" si="6"/>
        <v>0.52123488802406426</v>
      </c>
      <c r="Q7" s="14">
        <f t="shared" si="0"/>
        <v>17.309571793565183</v>
      </c>
      <c r="R7" s="14">
        <f t="shared" si="7"/>
        <v>6.1252600052155581E-6</v>
      </c>
      <c r="S7" s="14">
        <f t="shared" si="8"/>
        <v>6.1252600052155584E-3</v>
      </c>
      <c r="T7" s="14">
        <f t="shared" si="9"/>
        <v>6.2065660200785882</v>
      </c>
      <c r="U7" s="22"/>
      <c r="V7" s="14">
        <f t="shared" si="1"/>
        <v>6.2065660200785882</v>
      </c>
      <c r="W7" s="22"/>
      <c r="X7" s="14">
        <f t="shared" si="10"/>
        <v>6.1252600052155586E-9</v>
      </c>
      <c r="Y7" s="14">
        <f t="shared" si="11"/>
        <v>6.1252600052155586E-9</v>
      </c>
      <c r="Z7" s="14">
        <v>1.453264177295357</v>
      </c>
      <c r="AA7" s="14">
        <v>19.049338212001842</v>
      </c>
      <c r="AB7" s="12">
        <v>0.44514072171553143</v>
      </c>
      <c r="AC7" s="14"/>
      <c r="AD7" s="4"/>
      <c r="AG7" s="1">
        <f t="shared" si="2"/>
        <v>1</v>
      </c>
      <c r="AI7" s="22"/>
      <c r="AJ7" s="24"/>
      <c r="AK7" s="24"/>
    </row>
    <row r="8" spans="1:37" x14ac:dyDescent="0.3">
      <c r="A8" s="20"/>
      <c r="B8" s="34"/>
      <c r="C8" s="22">
        <v>3</v>
      </c>
      <c r="D8" s="14" t="s">
        <v>56</v>
      </c>
      <c r="E8" s="14" t="s">
        <v>8</v>
      </c>
      <c r="F8" s="14">
        <v>19.351492407647701</v>
      </c>
      <c r="G8" s="14">
        <f t="shared" si="3"/>
        <v>0.193514924076477</v>
      </c>
      <c r="H8" s="14">
        <v>3468</v>
      </c>
      <c r="I8" s="14">
        <v>2.054211621726678E-2</v>
      </c>
      <c r="J8" s="14">
        <f t="shared" si="4"/>
        <v>4.108423243453356E-2</v>
      </c>
      <c r="K8" s="14" t="s">
        <v>13</v>
      </c>
      <c r="L8" s="14">
        <v>2.7489625304299929</v>
      </c>
      <c r="M8" s="14">
        <f t="shared" si="5"/>
        <v>2.7489625304299929</v>
      </c>
      <c r="N8" s="14">
        <v>7.3434590044844494</v>
      </c>
      <c r="O8" s="14">
        <v>0.15183764627934709</v>
      </c>
      <c r="P8" s="14">
        <f t="shared" si="6"/>
        <v>0.63356051711810113</v>
      </c>
      <c r="Q8" s="14">
        <f t="shared" si="0"/>
        <v>11.590777528069296</v>
      </c>
      <c r="R8" s="14">
        <f t="shared" si="7"/>
        <v>2.194916161679979E-6</v>
      </c>
      <c r="S8" s="14">
        <f t="shared" si="8"/>
        <v>2.1949161616799792E-3</v>
      </c>
      <c r="T8" s="14">
        <f t="shared" si="9"/>
        <v>2.2240512328300528</v>
      </c>
      <c r="U8" s="22">
        <f t="shared" ref="U8:W8" si="16">AVERAGE(T8:T10)</f>
        <v>2.9556175503427053</v>
      </c>
      <c r="V8" s="14">
        <f t="shared" si="1"/>
        <v>2.2240512328300528</v>
      </c>
      <c r="W8" s="22">
        <f t="shared" si="16"/>
        <v>2.9556175503427053</v>
      </c>
      <c r="X8" s="14">
        <f t="shared" si="10"/>
        <v>2.194916161679979E-9</v>
      </c>
      <c r="Y8" s="14">
        <f t="shared" si="11"/>
        <v>2.194916161679979E-9</v>
      </c>
      <c r="Z8" s="14">
        <v>1.7742671670317509</v>
      </c>
      <c r="AA8" s="14">
        <v>52.900114885108096</v>
      </c>
      <c r="AB8" s="12">
        <v>2.1837838549308928</v>
      </c>
      <c r="AC8" s="14"/>
      <c r="AD8" s="4"/>
      <c r="AG8" s="1">
        <f t="shared" si="2"/>
        <v>1</v>
      </c>
      <c r="AI8" s="22">
        <f t="shared" ref="AI8" si="17">AG8+AG9+AG10</f>
        <v>3</v>
      </c>
      <c r="AJ8" s="24">
        <f t="shared" ref="AJ8" si="18">AI8/3*100</f>
        <v>100</v>
      </c>
      <c r="AK8" s="24">
        <f t="shared" ref="AK8" si="19">IF(AI8=0,0,1)</f>
        <v>1</v>
      </c>
    </row>
    <row r="9" spans="1:37" x14ac:dyDescent="0.3">
      <c r="A9" s="20"/>
      <c r="B9" s="34"/>
      <c r="C9" s="22"/>
      <c r="D9" s="14" t="s">
        <v>57</v>
      </c>
      <c r="E9" s="14" t="s">
        <v>10</v>
      </c>
      <c r="F9" s="14">
        <v>17.8311074148024</v>
      </c>
      <c r="G9" s="14">
        <f t="shared" si="3"/>
        <v>0.178311074148024</v>
      </c>
      <c r="H9" s="14">
        <v>2964</v>
      </c>
      <c r="I9" s="14">
        <v>2.184898246128902E-2</v>
      </c>
      <c r="J9" s="14">
        <f t="shared" si="4"/>
        <v>4.3697964922578041E-2</v>
      </c>
      <c r="K9" s="14" t="s">
        <v>13</v>
      </c>
      <c r="L9" s="14">
        <v>2.3938795727359792</v>
      </c>
      <c r="M9" s="14">
        <f t="shared" si="5"/>
        <v>2.3938795727359792</v>
      </c>
      <c r="N9" s="14">
        <v>6.2483859716439003</v>
      </c>
      <c r="O9" s="14">
        <v>0.13911063497735471</v>
      </c>
      <c r="P9" s="14">
        <f t="shared" si="6"/>
        <v>0.64628752842009352</v>
      </c>
      <c r="Q9" s="14">
        <f t="shared" si="0"/>
        <v>9.668120916581243</v>
      </c>
      <c r="R9" s="14">
        <f t="shared" si="7"/>
        <v>3.1351717126227301E-6</v>
      </c>
      <c r="S9" s="14">
        <f t="shared" si="8"/>
        <v>3.1351717126227299E-3</v>
      </c>
      <c r="T9" s="14">
        <f t="shared" si="9"/>
        <v>3.1767876305833718</v>
      </c>
      <c r="U9" s="22"/>
      <c r="V9" s="14">
        <f t="shared" si="1"/>
        <v>3.1767876305833718</v>
      </c>
      <c r="W9" s="22"/>
      <c r="X9" s="14">
        <f t="shared" si="10"/>
        <v>3.13517171262273E-9</v>
      </c>
      <c r="Y9" s="14">
        <f t="shared" si="11"/>
        <v>3.13517171262273E-9</v>
      </c>
      <c r="Z9" s="14">
        <v>1.8077156368743472</v>
      </c>
      <c r="AA9" s="14">
        <v>58.840621610755619</v>
      </c>
      <c r="AB9" s="12">
        <v>2.5773997701231202</v>
      </c>
      <c r="AC9" s="14"/>
      <c r="AD9" s="4"/>
      <c r="AG9" s="1">
        <f t="shared" si="2"/>
        <v>1</v>
      </c>
      <c r="AI9" s="22"/>
      <c r="AJ9" s="24"/>
      <c r="AK9" s="24"/>
    </row>
    <row r="10" spans="1:37" x14ac:dyDescent="0.3">
      <c r="A10" s="20"/>
      <c r="B10" s="34"/>
      <c r="C10" s="22"/>
      <c r="D10" s="14" t="s">
        <v>58</v>
      </c>
      <c r="E10" s="14" t="s">
        <v>9</v>
      </c>
      <c r="F10" s="14">
        <v>22.9835379674556</v>
      </c>
      <c r="G10" s="14">
        <f t="shared" si="3"/>
        <v>0.229835379674556</v>
      </c>
      <c r="H10" s="14">
        <v>4036</v>
      </c>
      <c r="I10" s="14">
        <v>1.987383182968662E-2</v>
      </c>
      <c r="J10" s="14">
        <f t="shared" si="4"/>
        <v>3.9747663659373239E-2</v>
      </c>
      <c r="K10" s="14" t="s">
        <v>13</v>
      </c>
      <c r="L10" s="14">
        <v>2.406924885877213</v>
      </c>
      <c r="M10" s="14">
        <f t="shared" si="5"/>
        <v>2.406924885877213</v>
      </c>
      <c r="N10" s="14">
        <v>8.728194733052316</v>
      </c>
      <c r="O10" s="14">
        <v>0.1781280270349842</v>
      </c>
      <c r="P10" s="14">
        <f t="shared" si="6"/>
        <v>0.60727013636246407</v>
      </c>
      <c r="Q10" s="14">
        <f t="shared" si="0"/>
        <v>14.372837079284068</v>
      </c>
      <c r="R10" s="14">
        <f t="shared" si="7"/>
        <v>3.4206090069969393E-6</v>
      </c>
      <c r="S10" s="14">
        <f t="shared" si="8"/>
        <v>3.4206090069969393E-3</v>
      </c>
      <c r="T10" s="14">
        <f t="shared" si="9"/>
        <v>3.4660137876146919</v>
      </c>
      <c r="U10" s="22"/>
      <c r="V10" s="14">
        <f t="shared" si="1"/>
        <v>3.4660137876146919</v>
      </c>
      <c r="W10" s="22"/>
      <c r="X10" s="14">
        <f t="shared" si="10"/>
        <v>3.4206090069969392E-9</v>
      </c>
      <c r="Y10" s="14">
        <f t="shared" si="11"/>
        <v>3.4206090069969392E-9</v>
      </c>
      <c r="Z10" s="14">
        <v>1.6943621647159768</v>
      </c>
      <c r="AA10" s="14">
        <v>41.024207586818811</v>
      </c>
      <c r="AB10" s="12">
        <v>1.4698584732330062</v>
      </c>
      <c r="AC10" s="14"/>
      <c r="AD10" s="4"/>
      <c r="AG10" s="1">
        <f t="shared" si="2"/>
        <v>1</v>
      </c>
      <c r="AI10" s="22"/>
      <c r="AJ10" s="24"/>
      <c r="AK10" s="24"/>
    </row>
    <row r="11" spans="1:37" ht="14.4" customHeight="1" x14ac:dyDescent="0.3">
      <c r="A11" s="20"/>
      <c r="B11" s="34"/>
      <c r="C11" s="22">
        <v>4</v>
      </c>
      <c r="D11" s="14" t="s">
        <v>59</v>
      </c>
      <c r="E11" s="14" t="s">
        <v>8</v>
      </c>
      <c r="F11" s="14">
        <v>11.409066831851799</v>
      </c>
      <c r="G11" s="14">
        <f t="shared" si="3"/>
        <v>0.114090668318518</v>
      </c>
      <c r="H11" s="14">
        <v>3171</v>
      </c>
      <c r="I11" s="14">
        <v>1.4827813869966721E-2</v>
      </c>
      <c r="J11" s="14">
        <f t="shared" si="4"/>
        <v>2.9655627739933441E-2</v>
      </c>
      <c r="K11" s="14" t="s">
        <v>14</v>
      </c>
      <c r="L11" s="14">
        <v>0.91873658040111061</v>
      </c>
      <c r="M11" s="14">
        <f t="shared" si="5"/>
        <v>0.91873658040111061</v>
      </c>
      <c r="N11" s="14">
        <v>5.8626263053596794</v>
      </c>
      <c r="O11" s="14">
        <v>8.9519774523586337E-2</v>
      </c>
      <c r="P11" s="14">
        <f t="shared" si="6"/>
        <v>0.695878388873862</v>
      </c>
      <c r="Q11" s="14">
        <f t="shared" si="0"/>
        <v>8.4247857083867057</v>
      </c>
      <c r="R11" s="14">
        <f t="shared" si="7"/>
        <v>6.3168719332985971E-6</v>
      </c>
      <c r="S11" s="14">
        <f t="shared" si="8"/>
        <v>6.3168719332985972E-3</v>
      </c>
      <c r="T11" s="14">
        <f t="shared" si="9"/>
        <v>6.4007213834214181</v>
      </c>
      <c r="U11" s="22">
        <f t="shared" ref="U11" si="20">AVERAGE(T11:T13)</f>
        <v>18.617208209286634</v>
      </c>
      <c r="V11" s="14"/>
      <c r="W11" s="22"/>
      <c r="X11" s="14">
        <f t="shared" si="10"/>
        <v>6.3168719332985966E-9</v>
      </c>
      <c r="Y11" s="14"/>
      <c r="Z11" s="14">
        <v>1.9490005296992605</v>
      </c>
      <c r="AA11" s="14">
        <v>92.238286653114343</v>
      </c>
      <c r="AB11" s="12">
        <v>5.1902583441110659</v>
      </c>
      <c r="AC11" s="14"/>
      <c r="AD11" s="4"/>
      <c r="AG11" s="1">
        <f t="shared" si="2"/>
        <v>0</v>
      </c>
      <c r="AI11" s="22">
        <f t="shared" ref="AI11" si="21">AG11+AG12+AG13</f>
        <v>0</v>
      </c>
      <c r="AJ11" s="24">
        <f t="shared" ref="AJ11" si="22">AI11/3*100</f>
        <v>0</v>
      </c>
      <c r="AK11" s="24">
        <f t="shared" ref="AK11" si="23">IF(AI11=0,0,1)</f>
        <v>0</v>
      </c>
    </row>
    <row r="12" spans="1:37" x14ac:dyDescent="0.3">
      <c r="A12" s="20"/>
      <c r="B12" s="34"/>
      <c r="C12" s="22"/>
      <c r="D12" s="14" t="s">
        <v>60</v>
      </c>
      <c r="E12" s="14" t="s">
        <v>10</v>
      </c>
      <c r="F12" s="14">
        <v>35.140827414309399</v>
      </c>
      <c r="G12" s="14">
        <f t="shared" si="3"/>
        <v>0.351408274143094</v>
      </c>
      <c r="H12" s="14">
        <v>3286</v>
      </c>
      <c r="I12" s="14">
        <v>1.764914120047088E-2</v>
      </c>
      <c r="J12" s="14">
        <f t="shared" si="4"/>
        <v>3.5298282400941759E-2</v>
      </c>
      <c r="K12" s="14" t="s">
        <v>14</v>
      </c>
      <c r="L12" s="14">
        <v>1.966959837089818</v>
      </c>
      <c r="M12" s="14">
        <f t="shared" si="5"/>
        <v>1.966959837089818</v>
      </c>
      <c r="N12" s="14">
        <v>8.3734681556715547</v>
      </c>
      <c r="O12" s="14">
        <v>0.27571606671551852</v>
      </c>
      <c r="P12" s="14">
        <f t="shared" si="6"/>
        <v>0.50968209668192976</v>
      </c>
      <c r="Q12" s="14">
        <f t="shared" si="0"/>
        <v>16.428805740251594</v>
      </c>
      <c r="R12" s="14">
        <f t="shared" si="7"/>
        <v>1.9756961947924909E-5</v>
      </c>
      <c r="S12" s="14">
        <f t="shared" si="8"/>
        <v>1.9756961947924909E-2</v>
      </c>
      <c r="T12" s="14">
        <f t="shared" si="9"/>
        <v>20.019213646696635</v>
      </c>
      <c r="U12" s="22"/>
      <c r="V12" s="14"/>
      <c r="W12" s="22"/>
      <c r="X12" s="14">
        <f t="shared" si="10"/>
        <v>1.9756961947924908E-8</v>
      </c>
      <c r="Y12" s="14"/>
      <c r="Z12" s="14">
        <v>1.4269017968851934</v>
      </c>
      <c r="AA12" s="14">
        <v>17.516653555129519</v>
      </c>
      <c r="AB12" s="12">
        <v>0.39063626118884698</v>
      </c>
      <c r="AC12" s="14"/>
      <c r="AD12" s="4"/>
      <c r="AG12" s="1">
        <f t="shared" si="2"/>
        <v>0</v>
      </c>
      <c r="AI12" s="22"/>
      <c r="AJ12" s="24"/>
      <c r="AK12" s="24"/>
    </row>
    <row r="13" spans="1:37" x14ac:dyDescent="0.3">
      <c r="A13" s="20"/>
      <c r="B13" s="34"/>
      <c r="C13" s="22"/>
      <c r="D13" s="14" t="s">
        <v>61</v>
      </c>
      <c r="E13" s="14" t="s">
        <v>9</v>
      </c>
      <c r="F13" s="14">
        <v>34.399505057563701</v>
      </c>
      <c r="G13" s="14">
        <f t="shared" si="3"/>
        <v>0.34399505057563701</v>
      </c>
      <c r="H13" s="14">
        <v>3871</v>
      </c>
      <c r="I13" s="14">
        <v>1.6090917462522381E-2</v>
      </c>
      <c r="J13" s="14">
        <f t="shared" si="4"/>
        <v>3.2181834925044762E-2</v>
      </c>
      <c r="K13" s="14" t="s">
        <v>14</v>
      </c>
      <c r="L13" s="14">
        <v>1.4879099520669281</v>
      </c>
      <c r="M13" s="14">
        <f t="shared" si="5"/>
        <v>1.4879099520669281</v>
      </c>
      <c r="N13" s="14">
        <v>8.849675365548638</v>
      </c>
      <c r="O13" s="14">
        <v>0.26944297108352278</v>
      </c>
      <c r="P13" s="14">
        <f t="shared" si="6"/>
        <v>0.5159551923139255</v>
      </c>
      <c r="Q13" s="14">
        <f t="shared" si="0"/>
        <v>17.152023077546975</v>
      </c>
      <c r="R13" s="14">
        <f t="shared" si="7"/>
        <v>2.9046134464011424E-5</v>
      </c>
      <c r="S13" s="14">
        <f t="shared" si="8"/>
        <v>2.9046134464011424E-2</v>
      </c>
      <c r="T13" s="14">
        <f t="shared" si="9"/>
        <v>29.431689597741844</v>
      </c>
      <c r="U13" s="22"/>
      <c r="V13" s="14"/>
      <c r="W13" s="22"/>
      <c r="X13" s="14">
        <f t="shared" si="10"/>
        <v>2.9046134464011425E-8</v>
      </c>
      <c r="Y13" s="14"/>
      <c r="Z13" s="14">
        <v>1.4432108887335986</v>
      </c>
      <c r="AA13" s="14">
        <v>18.449635701380139</v>
      </c>
      <c r="AB13" s="12">
        <v>0.42351163434503158</v>
      </c>
      <c r="AC13" s="14"/>
      <c r="AD13" s="4"/>
      <c r="AG13" s="1">
        <f t="shared" si="2"/>
        <v>0</v>
      </c>
      <c r="AI13" s="22"/>
      <c r="AJ13" s="24"/>
      <c r="AK13" s="24"/>
    </row>
    <row r="14" spans="1:37" x14ac:dyDescent="0.3">
      <c r="A14" s="20"/>
      <c r="B14" s="34"/>
      <c r="C14" s="22">
        <v>5</v>
      </c>
      <c r="D14" s="14" t="s">
        <v>62</v>
      </c>
      <c r="E14" s="14" t="s">
        <v>8</v>
      </c>
      <c r="F14" s="14">
        <v>17.8670562984592</v>
      </c>
      <c r="G14" s="14">
        <f t="shared" si="3"/>
        <v>0.178670562984592</v>
      </c>
      <c r="H14" s="14">
        <v>2363</v>
      </c>
      <c r="I14" s="14">
        <v>1.7327872869810822E-2</v>
      </c>
      <c r="J14" s="14">
        <f t="shared" si="4"/>
        <v>3.4655745739621643E-2</v>
      </c>
      <c r="K14" s="14" t="s">
        <v>14</v>
      </c>
      <c r="L14" s="14">
        <v>1.1346093906753361</v>
      </c>
      <c r="M14" s="14">
        <f t="shared" si="5"/>
        <v>1.1346093906753361</v>
      </c>
      <c r="N14" s="14">
        <v>5.7275420434943323</v>
      </c>
      <c r="O14" s="14">
        <v>0.13984973397826661</v>
      </c>
      <c r="P14" s="14">
        <f t="shared" si="6"/>
        <v>0.64554842941918167</v>
      </c>
      <c r="Q14" s="14">
        <f t="shared" si="0"/>
        <v>8.872366165691961</v>
      </c>
      <c r="R14" s="14">
        <f t="shared" si="7"/>
        <v>1.6687165559674536E-5</v>
      </c>
      <c r="S14" s="14">
        <f t="shared" si="8"/>
        <v>1.6687165559674536E-2</v>
      </c>
      <c r="T14" s="14">
        <f t="shared" si="9"/>
        <v>16.90866912521485</v>
      </c>
      <c r="U14" s="22">
        <f t="shared" ref="U14:W14" si="24">AVERAGE(T14:T16)</f>
        <v>12.562254806700642</v>
      </c>
      <c r="V14" s="14"/>
      <c r="W14" s="22">
        <f t="shared" si="24"/>
        <v>13.429128239007335</v>
      </c>
      <c r="X14" s="14">
        <f t="shared" si="10"/>
        <v>1.6687165559674537E-8</v>
      </c>
      <c r="Y14" s="14"/>
      <c r="Z14" s="14">
        <v>1.8069247614338979</v>
      </c>
      <c r="AA14" s="14">
        <v>58.692739928900146</v>
      </c>
      <c r="AB14" s="12">
        <v>2.5673201748582084</v>
      </c>
      <c r="AC14" s="14"/>
      <c r="AD14" s="4"/>
      <c r="AG14" s="1">
        <f t="shared" si="2"/>
        <v>0</v>
      </c>
      <c r="AI14" s="22">
        <f t="shared" ref="AI14" si="25">AG14+AG15+AG16</f>
        <v>1</v>
      </c>
      <c r="AJ14" s="24">
        <f t="shared" ref="AJ14" si="26">AI14/3*100</f>
        <v>33.333333333333329</v>
      </c>
      <c r="AK14" s="24">
        <f t="shared" ref="AK14" si="27">IF(AI14=0,0,1)</f>
        <v>1</v>
      </c>
    </row>
    <row r="15" spans="1:37" x14ac:dyDescent="0.3">
      <c r="A15" s="20"/>
      <c r="B15" s="34"/>
      <c r="C15" s="22"/>
      <c r="D15" s="14" t="s">
        <v>63</v>
      </c>
      <c r="E15" s="14" t="s">
        <v>10</v>
      </c>
      <c r="F15" s="14">
        <v>27.5497354725529</v>
      </c>
      <c r="G15" s="14">
        <f t="shared" si="3"/>
        <v>0.275497354725529</v>
      </c>
      <c r="H15" s="14">
        <v>3136</v>
      </c>
      <c r="I15" s="14">
        <v>1.863842985297294E-2</v>
      </c>
      <c r="J15" s="14">
        <f t="shared" si="4"/>
        <v>3.7276859705945881E-2</v>
      </c>
      <c r="K15" s="14" t="s">
        <v>14</v>
      </c>
      <c r="L15" s="14">
        <v>2.4605400040035259</v>
      </c>
      <c r="M15" s="14">
        <f t="shared" si="5"/>
        <v>2.4605400040035259</v>
      </c>
      <c r="N15" s="14">
        <v>7.6676765701353062</v>
      </c>
      <c r="O15" s="14">
        <v>0.21616162559033469</v>
      </c>
      <c r="P15" s="14">
        <f t="shared" si="6"/>
        <v>0.56923653780711359</v>
      </c>
      <c r="Q15" s="14">
        <f t="shared" si="0"/>
        <v>13.470106117351003</v>
      </c>
      <c r="R15" s="14">
        <f t="shared" si="7"/>
        <v>7.2526955874477156E-6</v>
      </c>
      <c r="S15" s="14">
        <f t="shared" si="8"/>
        <v>7.2526955874477154E-3</v>
      </c>
      <c r="T15" s="14">
        <f t="shared" si="9"/>
        <v>7.34896705587974</v>
      </c>
      <c r="U15" s="22"/>
      <c r="V15" s="14"/>
      <c r="W15" s="22"/>
      <c r="X15" s="14">
        <f t="shared" si="10"/>
        <v>7.2526955874477156E-9</v>
      </c>
      <c r="Y15" s="14"/>
      <c r="Z15" s="14">
        <v>1.5939058196038363</v>
      </c>
      <c r="AA15" s="14">
        <v>29.800599061962039</v>
      </c>
      <c r="AB15" s="12">
        <v>0.89355319679452949</v>
      </c>
      <c r="AC15" s="14"/>
      <c r="AD15" s="4"/>
      <c r="AG15" s="1">
        <f t="shared" si="2"/>
        <v>0</v>
      </c>
      <c r="AI15" s="22"/>
      <c r="AJ15" s="24"/>
      <c r="AK15" s="24"/>
    </row>
    <row r="16" spans="1:37" x14ac:dyDescent="0.3">
      <c r="A16" s="20"/>
      <c r="B16" s="34"/>
      <c r="C16" s="22"/>
      <c r="D16" s="14" t="s">
        <v>64</v>
      </c>
      <c r="E16" s="14" t="s">
        <v>9</v>
      </c>
      <c r="F16" s="14">
        <v>29.751575461815602</v>
      </c>
      <c r="G16" s="14">
        <f t="shared" si="3"/>
        <v>0.29751575461815599</v>
      </c>
      <c r="H16" s="14">
        <v>30374</v>
      </c>
      <c r="I16" s="14">
        <v>1.640775065921005E-2</v>
      </c>
      <c r="J16" s="14">
        <f t="shared" si="4"/>
        <v>3.28155013184201E-2</v>
      </c>
      <c r="K16" s="14" t="s">
        <v>13</v>
      </c>
      <c r="L16" s="14">
        <v>1.963786887219471</v>
      </c>
      <c r="M16" s="14">
        <f t="shared" si="5"/>
        <v>1.963786887219471</v>
      </c>
      <c r="N16" s="14">
        <v>7.9751402359143819</v>
      </c>
      <c r="O16" s="14">
        <v>0.23351161617694299</v>
      </c>
      <c r="P16" s="14">
        <f t="shared" si="6"/>
        <v>0.55188654722050523</v>
      </c>
      <c r="Q16" s="14">
        <f t="shared" si="0"/>
        <v>14.450687874310388</v>
      </c>
      <c r="R16" s="14">
        <f t="shared" si="7"/>
        <v>1.3253206659076338E-5</v>
      </c>
      <c r="S16" s="14">
        <f t="shared" si="8"/>
        <v>1.3253206659076339E-2</v>
      </c>
      <c r="T16" s="14">
        <f t="shared" si="9"/>
        <v>13.429128239007335</v>
      </c>
      <c r="U16" s="22"/>
      <c r="V16" s="14">
        <f t="shared" si="1"/>
        <v>13.429128239007335</v>
      </c>
      <c r="W16" s="22"/>
      <c r="X16" s="14">
        <f t="shared" si="10"/>
        <v>1.3253206659076339E-8</v>
      </c>
      <c r="Y16" s="14">
        <f t="shared" si="11"/>
        <v>1.3253206659076339E-8</v>
      </c>
      <c r="Z16" s="14">
        <v>1.5454653398400571</v>
      </c>
      <c r="AA16" s="14">
        <v>25.543929534389047</v>
      </c>
      <c r="AB16" s="12">
        <v>0.70289344714586399</v>
      </c>
      <c r="AC16" s="14"/>
      <c r="AD16" s="4"/>
      <c r="AG16" s="1">
        <f t="shared" si="2"/>
        <v>1</v>
      </c>
      <c r="AI16" s="22"/>
      <c r="AJ16" s="24"/>
      <c r="AK16" s="24"/>
    </row>
    <row r="17" spans="1:37" x14ac:dyDescent="0.3">
      <c r="A17" s="20"/>
      <c r="B17" s="34"/>
      <c r="C17" s="22">
        <v>6</v>
      </c>
      <c r="D17" s="14" t="s">
        <v>65</v>
      </c>
      <c r="E17" s="14" t="s">
        <v>8</v>
      </c>
      <c r="F17" s="14">
        <v>8.5736270235329908</v>
      </c>
      <c r="G17" s="14">
        <f t="shared" si="3"/>
        <v>8.5736270235329912E-2</v>
      </c>
      <c r="H17" s="14">
        <v>1326</v>
      </c>
      <c r="I17" s="14">
        <v>2.6005700995252599E-2</v>
      </c>
      <c r="J17" s="14">
        <f t="shared" si="4"/>
        <v>5.2011401990505197E-2</v>
      </c>
      <c r="K17" s="14" t="s">
        <v>14</v>
      </c>
      <c r="L17" s="14">
        <v>0.97813037406928538</v>
      </c>
      <c r="M17" s="14">
        <f t="shared" si="5"/>
        <v>0.97813037406928538</v>
      </c>
      <c r="N17" s="14">
        <v>3.1176818416272969</v>
      </c>
      <c r="O17" s="14">
        <v>6.717079315964844E-2</v>
      </c>
      <c r="P17" s="14">
        <f t="shared" si="6"/>
        <v>0.71822737023779981</v>
      </c>
      <c r="Q17" s="14">
        <f t="shared" si="0"/>
        <v>4.3408006584252776</v>
      </c>
      <c r="R17" s="14">
        <f t="shared" si="7"/>
        <v>8.3646466206350067E-6</v>
      </c>
      <c r="S17" s="14">
        <f t="shared" si="8"/>
        <v>8.3646466206350068E-3</v>
      </c>
      <c r="T17" s="14">
        <f t="shared" si="9"/>
        <v>8.4756780024673279</v>
      </c>
      <c r="U17" s="22">
        <f t="shared" ref="U17" si="28">AVERAGE(T17:T19)</f>
        <v>9.3438579566162847</v>
      </c>
      <c r="V17" s="14"/>
      <c r="W17" s="22"/>
      <c r="X17" s="14">
        <f t="shared" si="10"/>
        <v>8.364646620635007E-9</v>
      </c>
      <c r="Y17" s="14"/>
      <c r="Z17" s="14">
        <v>2.0113802054822743</v>
      </c>
      <c r="AA17" s="14">
        <v>112.48907293844924</v>
      </c>
      <c r="AB17" s="12">
        <v>7.0699005429272539</v>
      </c>
      <c r="AC17" s="14"/>
      <c r="AD17" s="4"/>
      <c r="AG17" s="1">
        <f t="shared" si="2"/>
        <v>0</v>
      </c>
      <c r="AI17" s="22">
        <f t="shared" ref="AI17" si="29">AG17+AG18+AG19</f>
        <v>0</v>
      </c>
      <c r="AJ17" s="24">
        <f t="shared" ref="AJ17" si="30">AI17/3*100</f>
        <v>0</v>
      </c>
      <c r="AK17" s="24">
        <f t="shared" ref="AK17" si="31">IF(AI17=0,0,1)</f>
        <v>0</v>
      </c>
    </row>
    <row r="18" spans="1:37" x14ac:dyDescent="0.3">
      <c r="A18" s="20"/>
      <c r="B18" s="34"/>
      <c r="C18" s="22"/>
      <c r="D18" s="14" t="s">
        <v>66</v>
      </c>
      <c r="E18" s="14" t="s">
        <v>10</v>
      </c>
      <c r="F18" s="14">
        <v>19.6842758300497</v>
      </c>
      <c r="G18" s="14">
        <f t="shared" si="3"/>
        <v>0.19684275830049699</v>
      </c>
      <c r="H18" s="14">
        <v>1823</v>
      </c>
      <c r="I18" s="14">
        <v>2.880392313367371E-2</v>
      </c>
      <c r="J18" s="14">
        <f t="shared" si="4"/>
        <v>5.7607846267347419E-2</v>
      </c>
      <c r="K18" s="14" t="s">
        <v>14</v>
      </c>
      <c r="L18" s="14">
        <v>1.485939263560798</v>
      </c>
      <c r="M18" s="14">
        <f t="shared" si="5"/>
        <v>1.485939263560798</v>
      </c>
      <c r="N18" s="14">
        <v>5.1737963948089352</v>
      </c>
      <c r="O18" s="14">
        <v>0.15449307863718639</v>
      </c>
      <c r="P18" s="14">
        <f t="shared" si="6"/>
        <v>0.63090508476026186</v>
      </c>
      <c r="Q18" s="14">
        <f t="shared" si="0"/>
        <v>8.2005939083133725</v>
      </c>
      <c r="R18" s="14">
        <f t="shared" si="7"/>
        <v>1.5925549761321872E-5</v>
      </c>
      <c r="S18" s="14">
        <f t="shared" si="8"/>
        <v>1.5925549761321871E-2</v>
      </c>
      <c r="T18" s="14">
        <f t="shared" si="9"/>
        <v>16.136943724107681</v>
      </c>
      <c r="U18" s="22"/>
      <c r="V18" s="14"/>
      <c r="W18" s="22"/>
      <c r="X18" s="14">
        <f t="shared" si="10"/>
        <v>1.592554976132187E-8</v>
      </c>
      <c r="Y18" s="14"/>
      <c r="Z18" s="14">
        <v>1.7669459317389067</v>
      </c>
      <c r="AA18" s="14">
        <v>51.682057502406835</v>
      </c>
      <c r="AB18" s="12">
        <v>2.1059900569845493</v>
      </c>
      <c r="AC18" s="14"/>
      <c r="AD18" s="4"/>
      <c r="AG18" s="1">
        <f t="shared" si="2"/>
        <v>0</v>
      </c>
      <c r="AI18" s="22"/>
      <c r="AJ18" s="24"/>
      <c r="AK18" s="24"/>
    </row>
    <row r="19" spans="1:37" ht="14.4" customHeight="1" thickBot="1" x14ac:dyDescent="0.35">
      <c r="A19" s="21"/>
      <c r="B19" s="40"/>
      <c r="C19" s="16"/>
      <c r="D19" s="9" t="s">
        <v>67</v>
      </c>
      <c r="E19" s="9" t="s">
        <v>9</v>
      </c>
      <c r="F19" s="9">
        <v>8.9329046810810002</v>
      </c>
      <c r="G19" s="9">
        <f t="shared" si="3"/>
        <v>8.9329046810809998E-2</v>
      </c>
      <c r="H19" s="9">
        <v>1042</v>
      </c>
      <c r="I19" s="9">
        <v>3.3378577754349152E-2</v>
      </c>
      <c r="J19" s="9">
        <f t="shared" si="4"/>
        <v>6.6757155508698304E-2</v>
      </c>
      <c r="K19" s="9" t="s">
        <v>14</v>
      </c>
      <c r="L19" s="9">
        <v>1.6409204073434061</v>
      </c>
      <c r="M19" s="9">
        <f t="shared" si="5"/>
        <v>1.6409204073434061</v>
      </c>
      <c r="N19" s="9">
        <v>3.1113677917942808</v>
      </c>
      <c r="O19" s="9">
        <v>7.0112714705343124E-2</v>
      </c>
      <c r="P19" s="9">
        <f t="shared" si="6"/>
        <v>0.7152854486921052</v>
      </c>
      <c r="Q19" s="9">
        <f t="shared" si="0"/>
        <v>4.3498267684368477</v>
      </c>
      <c r="R19" s="9">
        <f t="shared" si="7"/>
        <v>3.3741638701969604E-6</v>
      </c>
      <c r="S19" s="9">
        <f t="shared" si="8"/>
        <v>3.3741638701969604E-3</v>
      </c>
      <c r="T19" s="9">
        <f t="shared" si="9"/>
        <v>3.4189521432738479</v>
      </c>
      <c r="U19" s="16"/>
      <c r="V19" s="9"/>
      <c r="W19" s="16"/>
      <c r="X19" s="9">
        <f t="shared" si="10"/>
        <v>3.3741638701969603E-9</v>
      </c>
      <c r="Y19" s="9"/>
      <c r="Z19" s="9">
        <v>2.0034760970162182</v>
      </c>
      <c r="AA19" s="9">
        <v>109.69531417479658</v>
      </c>
      <c r="AB19" s="11">
        <v>6.7983854329474536</v>
      </c>
      <c r="AC19" s="14"/>
      <c r="AD19" s="4"/>
      <c r="AG19" s="1">
        <f t="shared" si="2"/>
        <v>0</v>
      </c>
      <c r="AI19" s="22"/>
      <c r="AJ19" s="24"/>
      <c r="AK19" s="24"/>
    </row>
    <row r="20" spans="1:37" ht="14.4" customHeight="1" x14ac:dyDescent="0.3">
      <c r="A20" s="19" t="s">
        <v>118</v>
      </c>
      <c r="B20" s="39" t="s">
        <v>119</v>
      </c>
      <c r="C20" s="15">
        <v>1</v>
      </c>
      <c r="D20" s="8" t="s">
        <v>68</v>
      </c>
      <c r="E20" s="8" t="s">
        <v>8</v>
      </c>
      <c r="F20" s="8">
        <v>51.899314444260902</v>
      </c>
      <c r="G20" s="8">
        <f t="shared" si="3"/>
        <v>0.51899314444260902</v>
      </c>
      <c r="H20" s="8">
        <v>6760</v>
      </c>
      <c r="I20" s="8">
        <v>1.5063380762618169E-2</v>
      </c>
      <c r="J20" s="8">
        <f t="shared" si="4"/>
        <v>3.0126761525236339E-2</v>
      </c>
      <c r="K20" s="8" t="s">
        <v>13</v>
      </c>
      <c r="L20" s="8">
        <v>2.73763502283597</v>
      </c>
      <c r="M20" s="8">
        <f t="shared" si="5"/>
        <v>2.73763502283597</v>
      </c>
      <c r="N20" s="8">
        <v>14.4103689167108</v>
      </c>
      <c r="O20" s="8">
        <v>0.40637831608449337</v>
      </c>
      <c r="P20" s="8">
        <f t="shared" si="6"/>
        <v>0.37901984731295491</v>
      </c>
      <c r="Q20" s="8">
        <f t="shared" si="0"/>
        <v>38.020090554287584</v>
      </c>
      <c r="R20" s="8">
        <f t="shared" si="7"/>
        <v>1.1154110342343893E-5</v>
      </c>
      <c r="S20" s="8">
        <f t="shared" si="8"/>
        <v>1.1154110342343893E-2</v>
      </c>
      <c r="T20" s="8">
        <f t="shared" si="9"/>
        <v>11.302168753008301</v>
      </c>
      <c r="U20" s="15">
        <f t="shared" ref="U20:W20" si="32">AVERAGE(T20:T22)</f>
        <v>11.538515371229357</v>
      </c>
      <c r="V20" s="8">
        <f t="shared" si="1"/>
        <v>11.302168753008301</v>
      </c>
      <c r="W20" s="15">
        <f t="shared" si="32"/>
        <v>11.538515371229357</v>
      </c>
      <c r="X20" s="8">
        <f t="shared" si="10"/>
        <v>1.1154110342343894E-8</v>
      </c>
      <c r="Y20" s="8">
        <f t="shared" si="11"/>
        <v>1.1154110342343894E-8</v>
      </c>
      <c r="Z20" s="8">
        <v>1.0582150822262602</v>
      </c>
      <c r="AA20" s="8">
        <v>5.4197948709119856</v>
      </c>
      <c r="AB20" s="10">
        <v>6.2872053371434061E-2</v>
      </c>
      <c r="AC20" s="14"/>
      <c r="AD20" s="4"/>
      <c r="AG20" s="1">
        <f t="shared" si="2"/>
        <v>1</v>
      </c>
      <c r="AI20" s="22">
        <f t="shared" ref="AI20" si="33">AG20+AG21+AG22</f>
        <v>3</v>
      </c>
      <c r="AJ20" s="24">
        <f t="shared" ref="AJ20" si="34">AI20/3*100</f>
        <v>100</v>
      </c>
      <c r="AK20" s="24">
        <f t="shared" ref="AK20" si="35">IF(AI20=0,0,1)</f>
        <v>1</v>
      </c>
    </row>
    <row r="21" spans="1:37" x14ac:dyDescent="0.3">
      <c r="A21" s="20"/>
      <c r="B21" s="34"/>
      <c r="C21" s="22"/>
      <c r="D21" s="14" t="s">
        <v>69</v>
      </c>
      <c r="E21" s="14" t="s">
        <v>10</v>
      </c>
      <c r="F21" s="14">
        <v>64.539440931137094</v>
      </c>
      <c r="G21" s="14">
        <f t="shared" si="3"/>
        <v>0.64539440931137093</v>
      </c>
      <c r="H21" s="14">
        <v>6154</v>
      </c>
      <c r="I21" s="14">
        <v>1.53892725029387E-2</v>
      </c>
      <c r="J21" s="14">
        <f t="shared" si="4"/>
        <v>3.07785450058774E-2</v>
      </c>
      <c r="K21" s="14" t="s">
        <v>13</v>
      </c>
      <c r="L21" s="14">
        <v>3.392900991579376</v>
      </c>
      <c r="M21" s="14">
        <f t="shared" si="5"/>
        <v>3.392900991579376</v>
      </c>
      <c r="N21" s="14">
        <v>14.664333297054901</v>
      </c>
      <c r="O21" s="14">
        <v>0.50610722381276574</v>
      </c>
      <c r="P21" s="14">
        <f t="shared" si="6"/>
        <v>0.27929093958468254</v>
      </c>
      <c r="Q21" s="14">
        <f t="shared" si="0"/>
        <v>52.505581881250372</v>
      </c>
      <c r="R21" s="14">
        <f t="shared" si="7"/>
        <v>1.3472900767565393E-5</v>
      </c>
      <c r="S21" s="14">
        <f t="shared" si="8"/>
        <v>1.3472900767565393E-2</v>
      </c>
      <c r="T21" s="14">
        <f t="shared" si="9"/>
        <v>13.651738542471772</v>
      </c>
      <c r="U21" s="22"/>
      <c r="V21" s="14">
        <f t="shared" si="1"/>
        <v>13.651738542471772</v>
      </c>
      <c r="W21" s="22"/>
      <c r="X21" s="14">
        <f t="shared" si="10"/>
        <v>1.3472900767565392E-8</v>
      </c>
      <c r="Y21" s="14">
        <f t="shared" si="11"/>
        <v>1.3472900767565392E-8</v>
      </c>
      <c r="Z21" s="14">
        <v>0.78013229951498397</v>
      </c>
      <c r="AA21" s="14">
        <v>2.2372537605474241</v>
      </c>
      <c r="AB21" s="12">
        <v>1.5852512028759633E-2</v>
      </c>
      <c r="AC21" s="14"/>
      <c r="AD21" s="4"/>
      <c r="AG21" s="1">
        <f t="shared" si="2"/>
        <v>1</v>
      </c>
      <c r="AI21" s="22"/>
      <c r="AJ21" s="24"/>
      <c r="AK21" s="24"/>
    </row>
    <row r="22" spans="1:37" x14ac:dyDescent="0.3">
      <c r="A22" s="20"/>
      <c r="B22" s="34"/>
      <c r="C22" s="22"/>
      <c r="D22" s="14" t="s">
        <v>70</v>
      </c>
      <c r="E22" s="14" t="s">
        <v>9</v>
      </c>
      <c r="F22" s="14">
        <v>50.0009901223616</v>
      </c>
      <c r="G22" s="14">
        <f t="shared" si="3"/>
        <v>0.50000990122361599</v>
      </c>
      <c r="H22" s="14">
        <v>6316</v>
      </c>
      <c r="I22" s="14">
        <v>1.6565564120161271E-2</v>
      </c>
      <c r="J22" s="14">
        <f t="shared" si="4"/>
        <v>3.3131128240322542E-2</v>
      </c>
      <c r="K22" s="14" t="s">
        <v>13</v>
      </c>
      <c r="L22" s="14">
        <v>2.9222706709607338</v>
      </c>
      <c r="M22" s="14">
        <f t="shared" si="5"/>
        <v>2.9222706709607338</v>
      </c>
      <c r="N22" s="14">
        <v>13.79550970052286</v>
      </c>
      <c r="O22" s="14">
        <v>0.39175867050725638</v>
      </c>
      <c r="P22" s="14">
        <f t="shared" si="6"/>
        <v>0.3936394928901919</v>
      </c>
      <c r="Q22" s="14">
        <f t="shared" si="0"/>
        <v>35.046050890963834</v>
      </c>
      <c r="R22" s="14">
        <f t="shared" si="7"/>
        <v>9.5350713496894701E-6</v>
      </c>
      <c r="S22" s="14">
        <f t="shared" si="8"/>
        <v>9.535071349689471E-3</v>
      </c>
      <c r="T22" s="14">
        <f t="shared" si="9"/>
        <v>9.6616388182079955</v>
      </c>
      <c r="U22" s="22"/>
      <c r="V22" s="14">
        <f t="shared" si="1"/>
        <v>9.6616388182079955</v>
      </c>
      <c r="W22" s="22"/>
      <c r="X22" s="14">
        <f t="shared" si="10"/>
        <v>9.5350713496894692E-9</v>
      </c>
      <c r="Y22" s="14">
        <f t="shared" si="11"/>
        <v>9.5350713496894692E-9</v>
      </c>
      <c r="Z22" s="14">
        <v>1.099978217308045</v>
      </c>
      <c r="AA22" s="14">
        <v>6.1900345642926036</v>
      </c>
      <c r="AB22" s="12">
        <v>7.7325138796160792E-2</v>
      </c>
      <c r="AC22" s="14"/>
      <c r="AD22" s="4"/>
      <c r="AG22" s="1">
        <f t="shared" si="2"/>
        <v>1</v>
      </c>
      <c r="AI22" s="22"/>
      <c r="AJ22" s="24"/>
      <c r="AK22" s="24"/>
    </row>
    <row r="23" spans="1:37" x14ac:dyDescent="0.3">
      <c r="A23" s="20"/>
      <c r="B23" s="34"/>
      <c r="C23" s="22">
        <v>2</v>
      </c>
      <c r="D23" s="14" t="s">
        <v>71</v>
      </c>
      <c r="E23" s="14" t="s">
        <v>8</v>
      </c>
      <c r="F23" s="14">
        <v>44.941018798138899</v>
      </c>
      <c r="G23" s="14">
        <f t="shared" si="3"/>
        <v>0.44941018798138899</v>
      </c>
      <c r="H23" s="14">
        <v>2279</v>
      </c>
      <c r="I23" s="14">
        <v>2.964223426894888E-2</v>
      </c>
      <c r="J23" s="14">
        <f t="shared" si="4"/>
        <v>5.9284468537897761E-2</v>
      </c>
      <c r="K23" s="14" t="s">
        <v>13</v>
      </c>
      <c r="L23" s="14">
        <v>2.1784559228995972</v>
      </c>
      <c r="M23" s="14">
        <f t="shared" si="5"/>
        <v>2.1784559228995972</v>
      </c>
      <c r="N23" s="14">
        <v>8.5379264522683762</v>
      </c>
      <c r="O23" s="14">
        <v>0.3421063828292501</v>
      </c>
      <c r="P23" s="14">
        <f t="shared" si="6"/>
        <v>0.44329178056819818</v>
      </c>
      <c r="Q23" s="14">
        <f t="shared" si="0"/>
        <v>19.260285948286064</v>
      </c>
      <c r="R23" s="14">
        <f t="shared" si="7"/>
        <v>3.4015697326598034E-5</v>
      </c>
      <c r="S23" s="14">
        <f t="shared" si="8"/>
        <v>3.4015697326598031E-2</v>
      </c>
      <c r="T23" s="14">
        <f t="shared" si="9"/>
        <v>34.467217880836998</v>
      </c>
      <c r="U23" s="22">
        <f t="shared" ref="U23:W23" si="36">AVERAGE(T23:T25)</f>
        <v>46.561482109892808</v>
      </c>
      <c r="V23" s="14">
        <f t="shared" si="1"/>
        <v>34.467217880836998</v>
      </c>
      <c r="W23" s="22">
        <f t="shared" si="36"/>
        <v>34.467217880836998</v>
      </c>
      <c r="X23" s="14">
        <f t="shared" si="10"/>
        <v>3.4015697326598035E-8</v>
      </c>
      <c r="Y23" s="14">
        <f t="shared" si="11"/>
        <v>3.4015697326598035E-8</v>
      </c>
      <c r="Z23" s="14">
        <v>1.2112975864409443</v>
      </c>
      <c r="AA23" s="14">
        <v>8.8210301766225374</v>
      </c>
      <c r="AB23" s="12">
        <v>0.13423016663075785</v>
      </c>
      <c r="AC23" s="14"/>
      <c r="AD23" s="4"/>
      <c r="AG23" s="1">
        <f t="shared" si="2"/>
        <v>1</v>
      </c>
      <c r="AI23" s="22">
        <f t="shared" ref="AI23" si="37">AG23+AG24+AG25</f>
        <v>1</v>
      </c>
      <c r="AJ23" s="24">
        <f t="shared" ref="AJ23" si="38">AI23/3*100</f>
        <v>33.333333333333329</v>
      </c>
      <c r="AK23" s="24">
        <f t="shared" ref="AK23" si="39">IF(AI23=0,0,1)</f>
        <v>1</v>
      </c>
    </row>
    <row r="24" spans="1:37" x14ac:dyDescent="0.3">
      <c r="A24" s="20"/>
      <c r="B24" s="34"/>
      <c r="C24" s="22"/>
      <c r="D24" s="14" t="s">
        <v>72</v>
      </c>
      <c r="E24" s="14" t="s">
        <v>10</v>
      </c>
      <c r="F24" s="14">
        <v>50.545553383354203</v>
      </c>
      <c r="G24" s="14">
        <f t="shared" si="3"/>
        <v>0.50545553383354203</v>
      </c>
      <c r="H24" s="14">
        <v>1991</v>
      </c>
      <c r="I24" s="14">
        <v>3.8447322327515132E-2</v>
      </c>
      <c r="J24" s="14">
        <f t="shared" si="4"/>
        <v>7.6894644655030264E-2</v>
      </c>
      <c r="K24" s="14" t="s">
        <v>14</v>
      </c>
      <c r="L24" s="14">
        <v>1.627179186188783</v>
      </c>
      <c r="M24" s="14">
        <f t="shared" si="5"/>
        <v>1.627179186188783</v>
      </c>
      <c r="N24" s="14">
        <v>8.6278447604681059</v>
      </c>
      <c r="O24" s="14">
        <v>0.38827320552854477</v>
      </c>
      <c r="P24" s="14">
        <f t="shared" si="6"/>
        <v>0.39712495786890351</v>
      </c>
      <c r="Q24" s="14">
        <f t="shared" si="0"/>
        <v>21.725768148060535</v>
      </c>
      <c r="R24" s="14">
        <f t="shared" si="7"/>
        <v>8.4498135788453428E-5</v>
      </c>
      <c r="S24" s="14">
        <f t="shared" si="8"/>
        <v>8.449813578845343E-2</v>
      </c>
      <c r="T24" s="14">
        <f t="shared" si="9"/>
        <v>85.619754573364503</v>
      </c>
      <c r="U24" s="22"/>
      <c r="V24" s="14"/>
      <c r="W24" s="22"/>
      <c r="X24" s="14">
        <f t="shared" si="10"/>
        <v>8.4498135788453439E-8</v>
      </c>
      <c r="Y24" s="14"/>
      <c r="Z24" s="14">
        <v>1.0879978255662077</v>
      </c>
      <c r="AA24" s="14">
        <v>5.958514722011202</v>
      </c>
      <c r="AB24" s="12">
        <v>7.2868884107277515E-2</v>
      </c>
      <c r="AC24" s="14"/>
      <c r="AD24" s="4"/>
      <c r="AG24" s="1">
        <f t="shared" si="2"/>
        <v>0</v>
      </c>
      <c r="AI24" s="22"/>
      <c r="AJ24" s="24"/>
      <c r="AK24" s="24"/>
    </row>
    <row r="25" spans="1:37" x14ac:dyDescent="0.3">
      <c r="A25" s="20"/>
      <c r="B25" s="34"/>
      <c r="C25" s="22"/>
      <c r="D25" s="14" t="s">
        <v>73</v>
      </c>
      <c r="E25" s="14" t="s">
        <v>9</v>
      </c>
      <c r="F25" s="14">
        <v>35.506904503679003</v>
      </c>
      <c r="G25" s="14">
        <f t="shared" si="3"/>
        <v>0.35506904503679004</v>
      </c>
      <c r="H25" s="14">
        <v>1630</v>
      </c>
      <c r="I25" s="14">
        <v>4.0447839672153353E-2</v>
      </c>
      <c r="J25" s="14">
        <f t="shared" si="4"/>
        <v>8.0895679344306706E-2</v>
      </c>
      <c r="K25" s="14" t="s">
        <v>14</v>
      </c>
      <c r="L25" s="14">
        <v>2.2892154217074872</v>
      </c>
      <c r="M25" s="14">
        <f t="shared" si="5"/>
        <v>2.2892154217074872</v>
      </c>
      <c r="N25" s="14">
        <v>7.494048076943014</v>
      </c>
      <c r="O25" s="14">
        <v>0.27115471678238218</v>
      </c>
      <c r="P25" s="14">
        <f t="shared" si="6"/>
        <v>0.51424344661506605</v>
      </c>
      <c r="Q25" s="14">
        <f t="shared" si="0"/>
        <v>14.572957859300908</v>
      </c>
      <c r="R25" s="14">
        <f t="shared" si="7"/>
        <v>1.9340746967708175E-5</v>
      </c>
      <c r="S25" s="14">
        <f t="shared" si="8"/>
        <v>1.9340746967708173E-2</v>
      </c>
      <c r="T25" s="14">
        <f t="shared" si="9"/>
        <v>19.597473875476922</v>
      </c>
      <c r="U25" s="22"/>
      <c r="V25" s="14"/>
      <c r="W25" s="22"/>
      <c r="X25" s="14">
        <f t="shared" si="10"/>
        <v>1.9340746967708172E-8</v>
      </c>
      <c r="Y25" s="14"/>
      <c r="Z25" s="14">
        <v>1.4188481009190621</v>
      </c>
      <c r="AA25" s="14">
        <v>17.073484804821614</v>
      </c>
      <c r="AB25" s="12">
        <v>0.37535582621225699</v>
      </c>
      <c r="AC25" s="14"/>
      <c r="AD25" s="4"/>
      <c r="AG25" s="1">
        <f t="shared" si="2"/>
        <v>0</v>
      </c>
      <c r="AI25" s="22"/>
      <c r="AJ25" s="24"/>
      <c r="AK25" s="24"/>
    </row>
    <row r="26" spans="1:37" x14ac:dyDescent="0.3">
      <c r="A26" s="20"/>
      <c r="B26" s="34"/>
      <c r="C26" s="22">
        <v>3</v>
      </c>
      <c r="D26" s="14" t="s">
        <v>74</v>
      </c>
      <c r="E26" s="14" t="s">
        <v>8</v>
      </c>
      <c r="F26" s="14">
        <v>21.9675444848775</v>
      </c>
      <c r="G26" s="14">
        <f t="shared" si="3"/>
        <v>0.21967544484877499</v>
      </c>
      <c r="H26" s="14">
        <v>648</v>
      </c>
      <c r="I26" s="14">
        <v>4.668896217835538E-2</v>
      </c>
      <c r="J26" s="14">
        <f t="shared" si="4"/>
        <v>9.3377924356710759E-2</v>
      </c>
      <c r="K26" s="14" t="s">
        <v>14</v>
      </c>
      <c r="L26" s="14">
        <v>1.504226338101744</v>
      </c>
      <c r="M26" s="14">
        <f t="shared" si="5"/>
        <v>1.504226338101744</v>
      </c>
      <c r="N26" s="14">
        <v>3.7011812424378339</v>
      </c>
      <c r="O26" s="14">
        <v>0.17242670789915471</v>
      </c>
      <c r="P26" s="14">
        <f t="shared" si="6"/>
        <v>0.61297145549829357</v>
      </c>
      <c r="Q26" s="14">
        <f t="shared" si="0"/>
        <v>6.0380972217198741</v>
      </c>
      <c r="R26" s="14">
        <f t="shared" si="7"/>
        <v>4.2208256403748371E-5</v>
      </c>
      <c r="S26" s="14">
        <f t="shared" si="8"/>
        <v>4.2208256403748375E-2</v>
      </c>
      <c r="T26" s="14">
        <f t="shared" si="9"/>
        <v>42.768524069052965</v>
      </c>
      <c r="U26" s="22">
        <f t="shared" ref="U26" si="40">AVERAGE(T26:T28)</f>
        <v>95.756338355032312</v>
      </c>
      <c r="V26" s="14"/>
      <c r="W26" s="22"/>
      <c r="X26" s="14">
        <f t="shared" si="10"/>
        <v>4.2208256403748371E-8</v>
      </c>
      <c r="Y26" s="14"/>
      <c r="Z26" s="14">
        <v>1.7167140213326952</v>
      </c>
      <c r="AA26" s="14">
        <v>44.048084431143359</v>
      </c>
      <c r="AB26" s="12">
        <v>1.6419908015652138</v>
      </c>
      <c r="AC26" s="14"/>
      <c r="AD26" s="4"/>
      <c r="AG26" s="1">
        <f t="shared" si="2"/>
        <v>0</v>
      </c>
      <c r="AI26" s="22">
        <f t="shared" ref="AI26" si="41">AG26+AG27+AG28</f>
        <v>0</v>
      </c>
      <c r="AJ26" s="24">
        <f t="shared" ref="AJ26" si="42">AI26/3*100</f>
        <v>0</v>
      </c>
      <c r="AK26" s="24">
        <f t="shared" ref="AK26" si="43">IF(AI26=0,0,1)</f>
        <v>0</v>
      </c>
    </row>
    <row r="27" spans="1:37" x14ac:dyDescent="0.3">
      <c r="A27" s="20"/>
      <c r="B27" s="34"/>
      <c r="C27" s="22"/>
      <c r="D27" s="14" t="s">
        <v>75</v>
      </c>
      <c r="E27" s="14" t="s">
        <v>10</v>
      </c>
      <c r="F27" s="14">
        <v>55.821965467743098</v>
      </c>
      <c r="G27" s="14">
        <f t="shared" si="3"/>
        <v>0.55821965467743095</v>
      </c>
      <c r="H27" s="14">
        <v>1332</v>
      </c>
      <c r="I27" s="14">
        <v>4.9983457838903643E-2</v>
      </c>
      <c r="J27" s="14">
        <f t="shared" si="4"/>
        <v>9.9966915677807286E-2</v>
      </c>
      <c r="K27" s="14" t="s">
        <v>14</v>
      </c>
      <c r="L27" s="14">
        <v>1.4148172613786549</v>
      </c>
      <c r="M27" s="14">
        <f t="shared" si="5"/>
        <v>1.4148172613786549</v>
      </c>
      <c r="N27" s="14">
        <v>8.1721730801955399</v>
      </c>
      <c r="O27" s="14">
        <v>0.43813841687735239</v>
      </c>
      <c r="P27" s="14">
        <f t="shared" si="6"/>
        <v>0.34725974652009589</v>
      </c>
      <c r="Q27" s="14">
        <f t="shared" si="0"/>
        <v>23.533315226107316</v>
      </c>
      <c r="R27" s="14">
        <f t="shared" si="7"/>
        <v>1.607924536154837E-4</v>
      </c>
      <c r="S27" s="14">
        <f t="shared" si="8"/>
        <v>0.16079245361548369</v>
      </c>
      <c r="T27" s="14">
        <f t="shared" si="9"/>
        <v>162.92679462507215</v>
      </c>
      <c r="U27" s="22"/>
      <c r="V27" s="14"/>
      <c r="W27" s="22"/>
      <c r="X27" s="14">
        <f t="shared" si="10"/>
        <v>1.6079245361548371E-7</v>
      </c>
      <c r="Y27" s="14"/>
      <c r="Z27" s="14">
        <v>0.97191675970965197</v>
      </c>
      <c r="AA27" s="14">
        <v>4.1184315387320884</v>
      </c>
      <c r="AB27" s="12">
        <v>4.0998390133396408E-2</v>
      </c>
      <c r="AC27" s="14"/>
      <c r="AD27" s="4"/>
      <c r="AG27" s="1">
        <f t="shared" si="2"/>
        <v>0</v>
      </c>
      <c r="AI27" s="22"/>
      <c r="AJ27" s="24"/>
      <c r="AK27" s="24"/>
    </row>
    <row r="28" spans="1:37" x14ac:dyDescent="0.3">
      <c r="A28" s="20"/>
      <c r="B28" s="34"/>
      <c r="C28" s="22"/>
      <c r="D28" s="14" t="s">
        <v>76</v>
      </c>
      <c r="E28" s="14" t="s">
        <v>9</v>
      </c>
      <c r="F28" s="14">
        <v>31.723450189134301</v>
      </c>
      <c r="G28" s="14">
        <f t="shared" si="3"/>
        <v>0.317234501891343</v>
      </c>
      <c r="H28" s="14">
        <v>575</v>
      </c>
      <c r="I28" s="14">
        <v>7.535998486494154E-2</v>
      </c>
      <c r="J28" s="14">
        <f t="shared" si="4"/>
        <v>0.15071996972988308</v>
      </c>
      <c r="K28" s="14" t="s">
        <v>14</v>
      </c>
      <c r="L28" s="14">
        <v>1.5536960820759891</v>
      </c>
      <c r="M28" s="14">
        <f t="shared" si="5"/>
        <v>1.5536960820759891</v>
      </c>
      <c r="N28" s="14">
        <v>4.5033456484745944</v>
      </c>
      <c r="O28" s="14">
        <v>0.24898559418823379</v>
      </c>
      <c r="P28" s="14">
        <f t="shared" si="6"/>
        <v>0.53641256920921454</v>
      </c>
      <c r="Q28" s="14">
        <f t="shared" si="0"/>
        <v>8.3953022486282851</v>
      </c>
      <c r="R28" s="14">
        <f t="shared" si="7"/>
        <v>8.050508094851211E-5</v>
      </c>
      <c r="S28" s="14">
        <f t="shared" si="8"/>
        <v>8.0505080948512109E-2</v>
      </c>
      <c r="T28" s="14">
        <f t="shared" si="9"/>
        <v>81.573696370971831</v>
      </c>
      <c r="U28" s="22"/>
      <c r="V28" s="14"/>
      <c r="W28" s="22"/>
      <c r="X28" s="14">
        <f t="shared" si="10"/>
        <v>8.0505080948512118E-8</v>
      </c>
      <c r="Y28" s="14"/>
      <c r="Z28" s="14">
        <v>1.5020840958390456</v>
      </c>
      <c r="AA28" s="14">
        <v>22.250588682417803</v>
      </c>
      <c r="AB28" s="12">
        <v>0.56694991486952373</v>
      </c>
      <c r="AC28" s="14"/>
      <c r="AD28" s="4"/>
      <c r="AG28" s="1">
        <f t="shared" si="2"/>
        <v>0</v>
      </c>
      <c r="AI28" s="22"/>
      <c r="AJ28" s="24"/>
      <c r="AK28" s="24"/>
    </row>
    <row r="29" spans="1:37" x14ac:dyDescent="0.3">
      <c r="A29" s="20"/>
      <c r="B29" s="34"/>
      <c r="C29" s="22">
        <v>4</v>
      </c>
      <c r="D29" s="14" t="s">
        <v>77</v>
      </c>
      <c r="E29" s="14" t="s">
        <v>8</v>
      </c>
      <c r="F29" s="14">
        <v>49.534384522593598</v>
      </c>
      <c r="G29" s="14">
        <f t="shared" si="3"/>
        <v>0.495343845225936</v>
      </c>
      <c r="H29" s="14">
        <v>3098</v>
      </c>
      <c r="I29" s="14">
        <v>2.414212554260841E-2</v>
      </c>
      <c r="J29" s="14">
        <f t="shared" si="4"/>
        <v>4.828425108521682E-2</v>
      </c>
      <c r="K29" s="14" t="s">
        <v>14</v>
      </c>
      <c r="L29" s="14">
        <v>2.2170229095499931</v>
      </c>
      <c r="M29" s="14">
        <f t="shared" si="5"/>
        <v>2.2170229095499931</v>
      </c>
      <c r="N29" s="14">
        <v>10.99315140689674</v>
      </c>
      <c r="O29" s="14">
        <v>0.38862468859705479</v>
      </c>
      <c r="P29" s="14">
        <f t="shared" si="6"/>
        <v>0.39677347480039349</v>
      </c>
      <c r="Q29" s="14">
        <f t="shared" si="0"/>
        <v>27.706366743460134</v>
      </c>
      <c r="R29" s="14">
        <f t="shared" si="7"/>
        <v>2.5296453682113148E-5</v>
      </c>
      <c r="S29" s="14">
        <f t="shared" si="8"/>
        <v>2.5296453682113147E-2</v>
      </c>
      <c r="T29" s="14">
        <f t="shared" si="9"/>
        <v>25.632235973364217</v>
      </c>
      <c r="U29" s="22">
        <f t="shared" ref="U29:W29" si="44">AVERAGE(T29:T31)</f>
        <v>15.389646536890469</v>
      </c>
      <c r="V29" s="14"/>
      <c r="W29" s="22">
        <f t="shared" si="44"/>
        <v>16.167216526005976</v>
      </c>
      <c r="X29" s="14">
        <f t="shared" si="10"/>
        <v>2.5296453682113147E-8</v>
      </c>
      <c r="Y29" s="14"/>
      <c r="Z29" s="14">
        <v>1.1102435405029409</v>
      </c>
      <c r="AA29" s="14">
        <v>6.3955540070248738</v>
      </c>
      <c r="AB29" s="12">
        <v>8.1359623481053189E-2</v>
      </c>
      <c r="AC29" s="14"/>
      <c r="AD29" s="4"/>
      <c r="AG29" s="1">
        <f t="shared" si="2"/>
        <v>0</v>
      </c>
      <c r="AI29" s="22">
        <f t="shared" ref="AI29" si="45">AG29+AG30+AG31</f>
        <v>1</v>
      </c>
      <c r="AJ29" s="24">
        <f t="shared" ref="AJ29" si="46">AI29/3*100</f>
        <v>33.333333333333329</v>
      </c>
      <c r="AK29" s="24">
        <f t="shared" ref="AK29" si="47">IF(AI29=0,0,1)</f>
        <v>1</v>
      </c>
    </row>
    <row r="30" spans="1:37" x14ac:dyDescent="0.3">
      <c r="A30" s="20"/>
      <c r="B30" s="34"/>
      <c r="C30" s="22"/>
      <c r="D30" s="14" t="s">
        <v>78</v>
      </c>
      <c r="E30" s="14" t="s">
        <v>10</v>
      </c>
      <c r="F30" s="14">
        <v>60.924928903078502</v>
      </c>
      <c r="G30" s="14">
        <f t="shared" si="3"/>
        <v>0.60924928903078501</v>
      </c>
      <c r="H30" s="14">
        <v>4731</v>
      </c>
      <c r="I30" s="14">
        <v>1.7654537522411799E-2</v>
      </c>
      <c r="J30" s="14">
        <f t="shared" si="4"/>
        <v>3.5309075044823598E-2</v>
      </c>
      <c r="K30" s="14" t="s">
        <v>13</v>
      </c>
      <c r="L30" s="14">
        <v>3.059638967927484</v>
      </c>
      <c r="M30" s="14">
        <f t="shared" si="5"/>
        <v>3.059638967927484</v>
      </c>
      <c r="N30" s="14">
        <v>13.692459916520191</v>
      </c>
      <c r="O30" s="14">
        <v>0.47793145668652032</v>
      </c>
      <c r="P30" s="14">
        <f t="shared" si="6"/>
        <v>0.30746670671092796</v>
      </c>
      <c r="Q30" s="14">
        <f t="shared" si="0"/>
        <v>44.533146573796294</v>
      </c>
      <c r="R30" s="14">
        <f t="shared" si="7"/>
        <v>1.5955425989515298E-5</v>
      </c>
      <c r="S30" s="14">
        <f t="shared" si="8"/>
        <v>1.5955425989515298E-2</v>
      </c>
      <c r="T30" s="14">
        <f t="shared" si="9"/>
        <v>16.167216526005976</v>
      </c>
      <c r="U30" s="22"/>
      <c r="V30" s="14">
        <f t="shared" si="1"/>
        <v>16.167216526005976</v>
      </c>
      <c r="W30" s="22"/>
      <c r="X30" s="14">
        <f t="shared" si="10"/>
        <v>1.5955425989515297E-8</v>
      </c>
      <c r="Y30" s="14">
        <f t="shared" si="11"/>
        <v>1.5955425989515297E-8</v>
      </c>
      <c r="Z30" s="14">
        <v>0.85965156413227306</v>
      </c>
      <c r="AA30" s="14">
        <v>2.8813673504009811</v>
      </c>
      <c r="AB30" s="12">
        <v>2.3507271209048705E-2</v>
      </c>
      <c r="AC30" s="14"/>
      <c r="AD30" s="4"/>
      <c r="AG30" s="1">
        <f t="shared" si="2"/>
        <v>1</v>
      </c>
      <c r="AI30" s="22"/>
      <c r="AJ30" s="24"/>
      <c r="AK30" s="24"/>
    </row>
    <row r="31" spans="1:37" x14ac:dyDescent="0.3">
      <c r="A31" s="20"/>
      <c r="B31" s="34"/>
      <c r="C31" s="22"/>
      <c r="D31" s="14" t="s">
        <v>79</v>
      </c>
      <c r="E31" s="14" t="s">
        <v>9</v>
      </c>
      <c r="F31" s="14">
        <v>30.751416127598802</v>
      </c>
      <c r="G31" s="14">
        <f t="shared" si="3"/>
        <v>0.30751416127598802</v>
      </c>
      <c r="H31" s="14">
        <v>5661</v>
      </c>
      <c r="I31" s="14">
        <v>1.426446928199215E-2</v>
      </c>
      <c r="J31" s="14">
        <f t="shared" si="4"/>
        <v>2.85289385639843E-2</v>
      </c>
      <c r="K31" s="14" t="s">
        <v>14</v>
      </c>
      <c r="L31" s="14">
        <v>2.371913506031214</v>
      </c>
      <c r="M31" s="14">
        <f t="shared" si="5"/>
        <v>2.371913506031214</v>
      </c>
      <c r="N31" s="14">
        <v>12.22097454014756</v>
      </c>
      <c r="O31" s="14">
        <v>0.2388169359154709</v>
      </c>
      <c r="P31" s="14">
        <f t="shared" si="6"/>
        <v>0.54658122748197735</v>
      </c>
      <c r="Q31" s="14">
        <f t="shared" si="0"/>
        <v>22.358935736684312</v>
      </c>
      <c r="R31" s="14">
        <f t="shared" si="7"/>
        <v>4.3122468301431729E-6</v>
      </c>
      <c r="S31" s="14">
        <f t="shared" si="8"/>
        <v>4.3122468301431726E-3</v>
      </c>
      <c r="T31" s="14">
        <f t="shared" si="9"/>
        <v>4.3694871113012184</v>
      </c>
      <c r="U31" s="22"/>
      <c r="V31" s="14"/>
      <c r="W31" s="22"/>
      <c r="X31" s="14">
        <f t="shared" si="10"/>
        <v>4.312246830143173E-9</v>
      </c>
      <c r="Y31" s="14"/>
      <c r="Z31" s="14">
        <v>1.5234688451928267</v>
      </c>
      <c r="AA31" s="14">
        <v>23.817267675894357</v>
      </c>
      <c r="AB31" s="12">
        <v>0.63031688120490414</v>
      </c>
      <c r="AC31" s="14"/>
      <c r="AD31" s="4"/>
      <c r="AG31" s="1">
        <f t="shared" si="2"/>
        <v>0</v>
      </c>
      <c r="AI31" s="22"/>
      <c r="AJ31" s="24"/>
      <c r="AK31" s="24"/>
    </row>
    <row r="32" spans="1:37" x14ac:dyDescent="0.3">
      <c r="A32" s="20"/>
      <c r="B32" s="34"/>
      <c r="C32" s="22">
        <v>5</v>
      </c>
      <c r="D32" s="14" t="s">
        <v>80</v>
      </c>
      <c r="E32" s="14" t="s">
        <v>8</v>
      </c>
      <c r="F32" s="14">
        <v>42.241114602047297</v>
      </c>
      <c r="G32" s="14">
        <f t="shared" si="3"/>
        <v>0.42241114602047297</v>
      </c>
      <c r="H32" s="14">
        <v>1199</v>
      </c>
      <c r="I32" s="14">
        <v>4.9853062139119123E-2</v>
      </c>
      <c r="J32" s="14">
        <f t="shared" si="4"/>
        <v>9.9706124278238245E-2</v>
      </c>
      <c r="K32" s="14" t="s">
        <v>14</v>
      </c>
      <c r="L32" s="14">
        <v>1.2449778898850321</v>
      </c>
      <c r="M32" s="14">
        <f t="shared" si="5"/>
        <v>1.2449778898850321</v>
      </c>
      <c r="N32" s="14">
        <v>6.9089485862722011</v>
      </c>
      <c r="O32" s="14">
        <v>0.36568832077745311</v>
      </c>
      <c r="P32" s="14">
        <f t="shared" si="6"/>
        <v>0.41970984261999517</v>
      </c>
      <c r="Q32" s="14">
        <f t="shared" si="0"/>
        <v>16.461249855718908</v>
      </c>
      <c r="R32" s="14">
        <f t="shared" si="7"/>
        <v>1.0758447494394975E-4</v>
      </c>
      <c r="S32" s="14">
        <f t="shared" si="8"/>
        <v>0.10758447494394975</v>
      </c>
      <c r="T32" s="14">
        <f t="shared" si="9"/>
        <v>109.01253920756889</v>
      </c>
      <c r="U32" s="22">
        <f t="shared" ref="U32:W32" si="48">AVERAGE(T32:T34)</f>
        <v>46.932854156650876</v>
      </c>
      <c r="V32" s="14"/>
      <c r="W32" s="22">
        <f t="shared" si="48"/>
        <v>11.076348940535787</v>
      </c>
      <c r="X32" s="14">
        <f t="shared" si="10"/>
        <v>1.0758447494394975E-7</v>
      </c>
      <c r="Y32" s="14"/>
      <c r="Z32" s="14">
        <v>1.2706954787549596</v>
      </c>
      <c r="AA32" s="14">
        <v>10.656094233524575</v>
      </c>
      <c r="AB32" s="12">
        <v>0.18016003608673989</v>
      </c>
      <c r="AC32" s="14"/>
      <c r="AD32" s="4"/>
      <c r="AG32" s="1">
        <f t="shared" si="2"/>
        <v>0</v>
      </c>
      <c r="AI32" s="22">
        <f t="shared" ref="AI32" si="49">AG32+AG33+AG34</f>
        <v>1</v>
      </c>
      <c r="AJ32" s="24">
        <f t="shared" ref="AJ32" si="50">AI32/3*100</f>
        <v>33.333333333333329</v>
      </c>
      <c r="AK32" s="24">
        <f t="shared" ref="AK32" si="51">IF(AI32=0,0,1)</f>
        <v>1</v>
      </c>
    </row>
    <row r="33" spans="1:37" x14ac:dyDescent="0.3">
      <c r="A33" s="20"/>
      <c r="B33" s="34"/>
      <c r="C33" s="22"/>
      <c r="D33" s="14" t="s">
        <v>81</v>
      </c>
      <c r="E33" s="14" t="s">
        <v>10</v>
      </c>
      <c r="F33" s="14">
        <v>41.833755569429997</v>
      </c>
      <c r="G33" s="14">
        <f t="shared" si="3"/>
        <v>0.41833755569429998</v>
      </c>
      <c r="H33" s="14">
        <v>3467</v>
      </c>
      <c r="I33" s="14">
        <v>2.0822805222079129E-2</v>
      </c>
      <c r="J33" s="14">
        <f t="shared" si="4"/>
        <v>4.1645610444158258E-2</v>
      </c>
      <c r="K33" s="14" t="s">
        <v>13</v>
      </c>
      <c r="L33" s="14">
        <v>2.3842895321209721</v>
      </c>
      <c r="M33" s="14">
        <f t="shared" si="5"/>
        <v>2.3842895321209721</v>
      </c>
      <c r="N33" s="14">
        <v>10.335518997009689</v>
      </c>
      <c r="O33" s="14">
        <v>0.39375376892036051</v>
      </c>
      <c r="P33" s="14">
        <f t="shared" si="6"/>
        <v>0.39164439447708776</v>
      </c>
      <c r="Q33" s="14">
        <f t="shared" si="0"/>
        <v>26.390059816404047</v>
      </c>
      <c r="R33" s="14">
        <f t="shared" si="7"/>
        <v>1.0931248769414769E-5</v>
      </c>
      <c r="S33" s="14">
        <f t="shared" si="8"/>
        <v>1.0931248769414769E-2</v>
      </c>
      <c r="T33" s="14">
        <f t="shared" si="9"/>
        <v>11.076348940535787</v>
      </c>
      <c r="U33" s="22"/>
      <c r="V33" s="14">
        <f t="shared" si="1"/>
        <v>11.076348940535787</v>
      </c>
      <c r="W33" s="22"/>
      <c r="X33" s="14">
        <f t="shared" si="10"/>
        <v>1.0931248769414769E-8</v>
      </c>
      <c r="Y33" s="14">
        <f t="shared" si="11"/>
        <v>1.0931248769414769E-8</v>
      </c>
      <c r="Z33" s="14">
        <v>1.2796573774725402</v>
      </c>
      <c r="AA33" s="14">
        <v>10.964327947329865</v>
      </c>
      <c r="AB33" s="12">
        <v>0.18833978147459524</v>
      </c>
      <c r="AC33" s="14"/>
      <c r="AD33" s="4"/>
      <c r="AG33" s="1">
        <f t="shared" si="2"/>
        <v>1</v>
      </c>
      <c r="AI33" s="22"/>
      <c r="AJ33" s="24"/>
      <c r="AK33" s="24"/>
    </row>
    <row r="34" spans="1:37" x14ac:dyDescent="0.3">
      <c r="A34" s="20"/>
      <c r="B34" s="34"/>
      <c r="C34" s="22"/>
      <c r="D34" s="14" t="s">
        <v>82</v>
      </c>
      <c r="E34" s="14" t="s">
        <v>9</v>
      </c>
      <c r="F34" s="14">
        <v>37.750482792091503</v>
      </c>
      <c r="G34" s="14">
        <f t="shared" si="3"/>
        <v>0.37750482792091505</v>
      </c>
      <c r="H34" s="14">
        <v>2797</v>
      </c>
      <c r="I34" s="14">
        <v>2.5245216132929751E-2</v>
      </c>
      <c r="J34" s="14">
        <f t="shared" si="4"/>
        <v>5.0490432265859503E-2</v>
      </c>
      <c r="K34" s="14" t="s">
        <v>14</v>
      </c>
      <c r="L34" s="14">
        <v>1.9519612524065779</v>
      </c>
      <c r="M34" s="14">
        <f t="shared" si="5"/>
        <v>1.9519612524065779</v>
      </c>
      <c r="N34" s="14">
        <v>8.3938337656620483</v>
      </c>
      <c r="O34" s="14">
        <v>0.34087746302157018</v>
      </c>
      <c r="P34" s="14">
        <f t="shared" si="6"/>
        <v>0.4445207003758781</v>
      </c>
      <c r="Q34" s="14">
        <f t="shared" ref="Q34:Q65" si="52">N34/P34</f>
        <v>18.882886125582868</v>
      </c>
      <c r="R34" s="14">
        <f t="shared" si="7"/>
        <v>2.0438377588231742E-5</v>
      </c>
      <c r="S34" s="14">
        <f t="shared" si="8"/>
        <v>2.0438377588231742E-2</v>
      </c>
      <c r="T34" s="14">
        <f t="shared" si="9"/>
        <v>20.709674321847949</v>
      </c>
      <c r="U34" s="22"/>
      <c r="V34" s="14"/>
      <c r="W34" s="22"/>
      <c r="X34" s="14">
        <f t="shared" si="10"/>
        <v>2.0438377588231743E-8</v>
      </c>
      <c r="Y34" s="14"/>
      <c r="Z34" s="14">
        <v>1.369489378573987</v>
      </c>
      <c r="AA34" s="14">
        <v>14.592040133308707</v>
      </c>
      <c r="AB34" s="12">
        <v>0.29392493527376079</v>
      </c>
      <c r="AC34" s="14"/>
      <c r="AD34" s="4"/>
      <c r="AG34" s="1">
        <f t="shared" ref="AG34:AG65" si="53">IF(K34="YES",1,0)</f>
        <v>0</v>
      </c>
      <c r="AI34" s="22"/>
      <c r="AJ34" s="24"/>
      <c r="AK34" s="24"/>
    </row>
    <row r="35" spans="1:37" x14ac:dyDescent="0.3">
      <c r="A35" s="20"/>
      <c r="B35" s="34"/>
      <c r="C35" s="22">
        <v>6</v>
      </c>
      <c r="D35" s="14" t="s">
        <v>83</v>
      </c>
      <c r="E35" s="14" t="s">
        <v>8</v>
      </c>
      <c r="F35" s="14">
        <v>41.115677143415802</v>
      </c>
      <c r="G35" s="14">
        <f t="shared" si="3"/>
        <v>0.41115677143415802</v>
      </c>
      <c r="H35" s="14">
        <v>4055</v>
      </c>
      <c r="I35" s="14">
        <v>1.7011243430654729E-2</v>
      </c>
      <c r="J35" s="14">
        <f t="shared" si="4"/>
        <v>3.4022486861309459E-2</v>
      </c>
      <c r="K35" s="14" t="s">
        <v>13</v>
      </c>
      <c r="L35" s="14">
        <v>3.231662269849418</v>
      </c>
      <c r="M35" s="14">
        <f t="shared" si="5"/>
        <v>3.231662269849418</v>
      </c>
      <c r="N35" s="14">
        <v>12.61477008668974</v>
      </c>
      <c r="O35" s="14">
        <v>0.39251451973296958</v>
      </c>
      <c r="P35" s="14">
        <f t="shared" si="6"/>
        <v>0.3928836436644787</v>
      </c>
      <c r="Q35" s="14">
        <f t="shared" si="52"/>
        <v>32.108157949845094</v>
      </c>
      <c r="R35" s="14">
        <f t="shared" si="7"/>
        <v>3.7236619719566727E-6</v>
      </c>
      <c r="S35" s="14">
        <f t="shared" si="8"/>
        <v>3.7236619719566728E-3</v>
      </c>
      <c r="T35" s="14">
        <f t="shared" si="9"/>
        <v>3.773089443668733</v>
      </c>
      <c r="U35" s="22">
        <f t="shared" ref="U35:W35" si="54">AVERAGE(T35:T37)</f>
        <v>4.6508873222845422</v>
      </c>
      <c r="V35" s="14">
        <f t="shared" ref="V35:V63" si="55">IF(K35="YES",T35,0)</f>
        <v>3.773089443668733</v>
      </c>
      <c r="W35" s="22">
        <f t="shared" si="54"/>
        <v>4.6508873222845422</v>
      </c>
      <c r="X35" s="14">
        <f t="shared" si="10"/>
        <v>3.7236619719566728E-9</v>
      </c>
      <c r="Y35" s="14">
        <f t="shared" si="11"/>
        <v>3.7236619719566728E-9</v>
      </c>
      <c r="Z35" s="14">
        <v>1.2954551028448527</v>
      </c>
      <c r="AA35" s="14">
        <v>11.52954163186671</v>
      </c>
      <c r="AB35" s="12">
        <v>0.20367350137489926</v>
      </c>
      <c r="AC35" s="14"/>
      <c r="AD35" s="4"/>
      <c r="AG35" s="1">
        <f t="shared" si="53"/>
        <v>1</v>
      </c>
      <c r="AI35" s="22">
        <f t="shared" ref="AI35" si="56">AG35+AG36+AG37</f>
        <v>3</v>
      </c>
      <c r="AJ35" s="24">
        <f t="shared" ref="AJ35" si="57">AI35/3*100</f>
        <v>100</v>
      </c>
      <c r="AK35" s="24">
        <f t="shared" ref="AK35" si="58">IF(AI35=0,0,1)</f>
        <v>1</v>
      </c>
    </row>
    <row r="36" spans="1:37" x14ac:dyDescent="0.3">
      <c r="A36" s="20"/>
      <c r="B36" s="34"/>
      <c r="C36" s="22"/>
      <c r="D36" s="14" t="s">
        <v>84</v>
      </c>
      <c r="E36" s="14" t="s">
        <v>10</v>
      </c>
      <c r="F36" s="14">
        <v>42.848881017313403</v>
      </c>
      <c r="G36" s="14">
        <f t="shared" si="3"/>
        <v>0.428488810173134</v>
      </c>
      <c r="H36" s="14">
        <v>6581</v>
      </c>
      <c r="I36" s="14">
        <v>1.4075197744947429E-2</v>
      </c>
      <c r="J36" s="14">
        <f t="shared" si="4"/>
        <v>2.8150395489894859E-2</v>
      </c>
      <c r="K36" s="14" t="s">
        <v>13</v>
      </c>
      <c r="L36" s="14">
        <v>2.7089168430777231</v>
      </c>
      <c r="M36" s="14">
        <f t="shared" si="5"/>
        <v>2.7089168430777231</v>
      </c>
      <c r="N36" s="14">
        <v>15.474839547638849</v>
      </c>
      <c r="O36" s="14">
        <v>0.41641967407370339</v>
      </c>
      <c r="P36" s="14">
        <f t="shared" si="6"/>
        <v>0.36897848932374488</v>
      </c>
      <c r="Q36" s="14">
        <f t="shared" si="52"/>
        <v>41.939679399741628</v>
      </c>
      <c r="R36" s="14">
        <f t="shared" si="7"/>
        <v>3.7321356034393461E-6</v>
      </c>
      <c r="S36" s="14">
        <f t="shared" si="8"/>
        <v>3.7321356034393459E-3</v>
      </c>
      <c r="T36" s="14">
        <f t="shared" si="9"/>
        <v>3.7816755531860835</v>
      </c>
      <c r="U36" s="22"/>
      <c r="V36" s="14">
        <f t="shared" si="55"/>
        <v>3.7816755531860835</v>
      </c>
      <c r="W36" s="22"/>
      <c r="X36" s="14">
        <f t="shared" si="10"/>
        <v>3.7321356034393468E-9</v>
      </c>
      <c r="Y36" s="14">
        <f t="shared" si="11"/>
        <v>3.7321356034393468E-9</v>
      </c>
      <c r="Z36" s="14">
        <v>1.2573246176191053</v>
      </c>
      <c r="AA36" s="14">
        <v>10.212253348026927</v>
      </c>
      <c r="AB36" s="12">
        <v>0.1686117957399956</v>
      </c>
      <c r="AC36" s="14"/>
      <c r="AD36" s="4"/>
      <c r="AG36" s="1">
        <f t="shared" si="53"/>
        <v>1</v>
      </c>
      <c r="AI36" s="22"/>
      <c r="AJ36" s="24"/>
      <c r="AK36" s="24"/>
    </row>
    <row r="37" spans="1:37" x14ac:dyDescent="0.3">
      <c r="A37" s="20"/>
      <c r="B37" s="34"/>
      <c r="C37" s="22"/>
      <c r="D37" s="14" t="s">
        <v>85</v>
      </c>
      <c r="E37" s="14" t="s">
        <v>9</v>
      </c>
      <c r="F37" s="14">
        <v>47.202778831775703</v>
      </c>
      <c r="G37" s="14">
        <f t="shared" si="3"/>
        <v>0.47202778831775705</v>
      </c>
      <c r="H37" s="14">
        <v>5338</v>
      </c>
      <c r="I37" s="14">
        <v>1.5353248683251291E-2</v>
      </c>
      <c r="J37" s="14">
        <f t="shared" si="4"/>
        <v>3.0706497366502581E-2</v>
      </c>
      <c r="K37" s="14" t="s">
        <v>13</v>
      </c>
      <c r="L37" s="14">
        <v>2.7849305836821951</v>
      </c>
      <c r="M37" s="14">
        <f t="shared" si="5"/>
        <v>2.7849305836821951</v>
      </c>
      <c r="N37" s="14">
        <v>13.304742884778699</v>
      </c>
      <c r="O37" s="14">
        <v>0.44645976401707049</v>
      </c>
      <c r="P37" s="14">
        <f t="shared" si="6"/>
        <v>0.33893839938037779</v>
      </c>
      <c r="Q37" s="14">
        <f t="shared" si="52"/>
        <v>39.254162140086372</v>
      </c>
      <c r="R37" s="14">
        <f t="shared" si="7"/>
        <v>6.3140845196918265E-6</v>
      </c>
      <c r="S37" s="14">
        <f t="shared" si="8"/>
        <v>6.3140845196918262E-3</v>
      </c>
      <c r="T37" s="14">
        <f t="shared" si="9"/>
        <v>6.3978969699988104</v>
      </c>
      <c r="U37" s="22"/>
      <c r="V37" s="14">
        <f t="shared" si="55"/>
        <v>6.3978969699988104</v>
      </c>
      <c r="W37" s="22"/>
      <c r="X37" s="14">
        <f t="shared" si="10"/>
        <v>6.3140845196918261E-9</v>
      </c>
      <c r="Y37" s="14">
        <f t="shared" si="11"/>
        <v>6.3140845196918261E-9</v>
      </c>
      <c r="Z37" s="14">
        <v>1.1615388657009347</v>
      </c>
      <c r="AA37" s="14">
        <v>7.5294007796839306</v>
      </c>
      <c r="AB37" s="12">
        <v>0.10490174437693453</v>
      </c>
      <c r="AC37" s="14"/>
      <c r="AD37" s="4"/>
      <c r="AG37" s="1">
        <f t="shared" si="53"/>
        <v>1</v>
      </c>
      <c r="AI37" s="22"/>
      <c r="AJ37" s="24"/>
      <c r="AK37" s="24"/>
    </row>
    <row r="38" spans="1:37" x14ac:dyDescent="0.3">
      <c r="A38" s="20"/>
      <c r="B38" s="34"/>
      <c r="C38" s="22">
        <v>7</v>
      </c>
      <c r="D38" s="14" t="s">
        <v>86</v>
      </c>
      <c r="E38" s="14" t="s">
        <v>8</v>
      </c>
      <c r="F38" s="14">
        <v>63.627381736465402</v>
      </c>
      <c r="G38" s="14">
        <f t="shared" si="3"/>
        <v>0.63627381736465405</v>
      </c>
      <c r="H38" s="14">
        <v>7424</v>
      </c>
      <c r="I38" s="14">
        <v>1.334376842293007E-2</v>
      </c>
      <c r="J38" s="14">
        <f t="shared" si="4"/>
        <v>2.668753684586014E-2</v>
      </c>
      <c r="K38" s="14" t="s">
        <v>13</v>
      </c>
      <c r="L38" s="14">
        <v>4.220428675870922</v>
      </c>
      <c r="M38" s="14">
        <f t="shared" si="5"/>
        <v>4.220428675870922</v>
      </c>
      <c r="N38" s="14">
        <v>18.804439472180359</v>
      </c>
      <c r="O38" s="14">
        <v>0.49926463025293499</v>
      </c>
      <c r="P38" s="14">
        <f t="shared" si="6"/>
        <v>0.28613353314451329</v>
      </c>
      <c r="Q38" s="14">
        <f t="shared" si="52"/>
        <v>65.719104173236047</v>
      </c>
      <c r="R38" s="14">
        <f t="shared" si="7"/>
        <v>5.0619356917682112E-6</v>
      </c>
      <c r="S38" s="14">
        <f t="shared" si="8"/>
        <v>5.0619356917682113E-3</v>
      </c>
      <c r="T38" s="14">
        <f t="shared" si="9"/>
        <v>5.1291272588592678</v>
      </c>
      <c r="U38" s="22">
        <f t="shared" ref="U38:W38" si="59">AVERAGE(T38:T40)</f>
        <v>6.6983502000313537</v>
      </c>
      <c r="V38" s="14">
        <f t="shared" si="55"/>
        <v>5.1291272588592678</v>
      </c>
      <c r="W38" s="22">
        <f t="shared" si="59"/>
        <v>6.6983502000313537</v>
      </c>
      <c r="X38" s="14">
        <f t="shared" si="10"/>
        <v>5.0619356917682115E-9</v>
      </c>
      <c r="Y38" s="14">
        <f t="shared" si="11"/>
        <v>5.0619356917682115E-9</v>
      </c>
      <c r="Z38" s="14">
        <v>0.80019760179776112</v>
      </c>
      <c r="AA38" s="14">
        <v>2.3847475211553721</v>
      </c>
      <c r="AB38" s="12">
        <v>1.7509479633397114E-2</v>
      </c>
      <c r="AC38" s="14"/>
      <c r="AD38" s="4"/>
      <c r="AG38" s="1">
        <f t="shared" si="53"/>
        <v>1</v>
      </c>
      <c r="AI38" s="22">
        <f t="shared" ref="AI38" si="60">AG38+AG39+AG40</f>
        <v>3</v>
      </c>
      <c r="AJ38" s="24">
        <f t="shared" ref="AJ38" si="61">AI38/3*100</f>
        <v>100</v>
      </c>
      <c r="AK38" s="24">
        <f t="shared" ref="AK38" si="62">IF(AI38=0,0,1)</f>
        <v>1</v>
      </c>
    </row>
    <row r="39" spans="1:37" x14ac:dyDescent="0.3">
      <c r="A39" s="20"/>
      <c r="B39" s="34"/>
      <c r="C39" s="22"/>
      <c r="D39" s="14" t="s">
        <v>87</v>
      </c>
      <c r="E39" s="14" t="s">
        <v>10</v>
      </c>
      <c r="F39" s="14">
        <v>75.192122756015806</v>
      </c>
      <c r="G39" s="14">
        <f t="shared" si="3"/>
        <v>0.75192122756015811</v>
      </c>
      <c r="H39" s="14">
        <v>7156</v>
      </c>
      <c r="I39" s="14">
        <v>9.4543223127537476E-3</v>
      </c>
      <c r="J39" s="14">
        <f t="shared" si="4"/>
        <v>1.8908644625507495E-2</v>
      </c>
      <c r="K39" s="14" t="s">
        <v>13</v>
      </c>
      <c r="L39" s="14">
        <v>4.427329823854536</v>
      </c>
      <c r="M39" s="14">
        <f t="shared" si="5"/>
        <v>4.427329823854536</v>
      </c>
      <c r="N39" s="14">
        <v>19.63979222964354</v>
      </c>
      <c r="O39" s="14">
        <v>0.59028042819843485</v>
      </c>
      <c r="P39" s="14">
        <f t="shared" si="6"/>
        <v>0.19511773519901343</v>
      </c>
      <c r="Q39" s="14">
        <f t="shared" si="52"/>
        <v>100.65611006406785</v>
      </c>
      <c r="R39" s="14">
        <f t="shared" si="7"/>
        <v>6.9567081603003221E-6</v>
      </c>
      <c r="S39" s="14">
        <f t="shared" si="8"/>
        <v>6.9567081603003223E-3</v>
      </c>
      <c r="T39" s="14">
        <f t="shared" si="9"/>
        <v>7.0490507247951379</v>
      </c>
      <c r="U39" s="22"/>
      <c r="V39" s="14">
        <f t="shared" si="55"/>
        <v>7.0490507247951379</v>
      </c>
      <c r="W39" s="22"/>
      <c r="X39" s="14">
        <f t="shared" si="10"/>
        <v>6.9567081603003221E-9</v>
      </c>
      <c r="Y39" s="14">
        <f t="shared" si="11"/>
        <v>6.9567081603003221E-9</v>
      </c>
      <c r="Z39" s="14">
        <v>0.54577329936765218</v>
      </c>
      <c r="AA39" s="14">
        <v>1.0613709125252866</v>
      </c>
      <c r="AB39" s="12">
        <v>4.9638698909475398E-3</v>
      </c>
      <c r="AC39" s="14"/>
      <c r="AD39" s="4"/>
      <c r="AG39" s="1">
        <f t="shared" si="53"/>
        <v>1</v>
      </c>
      <c r="AI39" s="22"/>
      <c r="AJ39" s="24"/>
      <c r="AK39" s="24"/>
    </row>
    <row r="40" spans="1:37" x14ac:dyDescent="0.3">
      <c r="A40" s="20"/>
      <c r="B40" s="34"/>
      <c r="C40" s="22"/>
      <c r="D40" s="14" t="s">
        <v>88</v>
      </c>
      <c r="E40" s="14" t="s">
        <v>9</v>
      </c>
      <c r="F40" s="14">
        <v>69.775602913201197</v>
      </c>
      <c r="G40" s="14">
        <f t="shared" si="3"/>
        <v>0.69775602913201196</v>
      </c>
      <c r="H40" s="14">
        <v>6175</v>
      </c>
      <c r="I40" s="14">
        <v>1.302407892919401E-2</v>
      </c>
      <c r="J40" s="14">
        <f t="shared" si="4"/>
        <v>2.6048157858388019E-2</v>
      </c>
      <c r="K40" s="14" t="s">
        <v>13</v>
      </c>
      <c r="L40" s="14">
        <v>4.1546346840075641</v>
      </c>
      <c r="M40" s="14">
        <f t="shared" si="5"/>
        <v>4.1546346840075641</v>
      </c>
      <c r="N40" s="14">
        <v>17.683526442610791</v>
      </c>
      <c r="O40" s="14">
        <v>0.54727459972040016</v>
      </c>
      <c r="P40" s="14">
        <f t="shared" si="6"/>
        <v>0.23812356367704812</v>
      </c>
      <c r="Q40" s="14">
        <f t="shared" si="52"/>
        <v>74.261976301487891</v>
      </c>
      <c r="R40" s="14">
        <f t="shared" si="7"/>
        <v>7.8131615851642955E-6</v>
      </c>
      <c r="S40" s="14">
        <f t="shared" si="8"/>
        <v>7.8131615851642962E-3</v>
      </c>
      <c r="T40" s="14">
        <f t="shared" si="9"/>
        <v>7.9168726164396563</v>
      </c>
      <c r="U40" s="22"/>
      <c r="V40" s="14">
        <f t="shared" si="55"/>
        <v>7.9168726164396563</v>
      </c>
      <c r="W40" s="22"/>
      <c r="X40" s="14">
        <f t="shared" si="10"/>
        <v>7.8131615851642961E-9</v>
      </c>
      <c r="Y40" s="14">
        <f t="shared" si="11"/>
        <v>7.8131615851642961E-9</v>
      </c>
      <c r="Z40" s="14">
        <v>0.6649367359095737</v>
      </c>
      <c r="AA40" s="14">
        <v>1.550717574688774</v>
      </c>
      <c r="AB40" s="12">
        <v>8.9583523389920577E-3</v>
      </c>
      <c r="AC40" s="14"/>
      <c r="AD40" s="4"/>
      <c r="AG40" s="1">
        <f t="shared" si="53"/>
        <v>1</v>
      </c>
      <c r="AI40" s="22"/>
      <c r="AJ40" s="24"/>
      <c r="AK40" s="24"/>
    </row>
    <row r="41" spans="1:37" x14ac:dyDescent="0.3">
      <c r="A41" s="20"/>
      <c r="B41" s="34"/>
      <c r="C41" s="22">
        <v>8</v>
      </c>
      <c r="D41" s="14" t="s">
        <v>89</v>
      </c>
      <c r="E41" s="14" t="s">
        <v>8</v>
      </c>
      <c r="F41" s="14">
        <v>46.521985587812402</v>
      </c>
      <c r="G41" s="14">
        <f t="shared" si="3"/>
        <v>0.46521985587812403</v>
      </c>
      <c r="H41" s="14">
        <v>3551</v>
      </c>
      <c r="I41" s="14">
        <v>2.0800597976434281E-2</v>
      </c>
      <c r="J41" s="14">
        <f t="shared" si="4"/>
        <v>4.1601195952868562E-2</v>
      </c>
      <c r="K41" s="14" t="s">
        <v>14</v>
      </c>
      <c r="L41" s="14">
        <v>1.4979359462884581</v>
      </c>
      <c r="M41" s="14">
        <f t="shared" si="5"/>
        <v>1.4979359462884581</v>
      </c>
      <c r="N41" s="14">
        <v>10.545324511812771</v>
      </c>
      <c r="O41" s="14">
        <v>0.36504464314998319</v>
      </c>
      <c r="P41" s="14">
        <f t="shared" si="6"/>
        <v>0.42035352024746508</v>
      </c>
      <c r="Q41" s="14">
        <f t="shared" si="52"/>
        <v>25.086799571952351</v>
      </c>
      <c r="R41" s="14">
        <f t="shared" si="7"/>
        <v>4.9862858218546466E-5</v>
      </c>
      <c r="S41" s="14">
        <f t="shared" si="8"/>
        <v>4.9862858218546469E-2</v>
      </c>
      <c r="T41" s="14">
        <f t="shared" si="9"/>
        <v>50.524732210504077</v>
      </c>
      <c r="U41" s="22">
        <f t="shared" ref="U41" si="63">AVERAGE(T41:T43)</f>
        <v>77.679671512412995</v>
      </c>
      <c r="V41" s="14"/>
      <c r="W41" s="22"/>
      <c r="X41" s="14">
        <f t="shared" si="10"/>
        <v>4.9862858218546467E-8</v>
      </c>
      <c r="Y41" s="14"/>
      <c r="Z41" s="14">
        <v>1.1765163170681274</v>
      </c>
      <c r="AA41" s="14">
        <v>7.8969056114828229</v>
      </c>
      <c r="AB41" s="12">
        <v>0.11298223656400776</v>
      </c>
      <c r="AC41" s="14"/>
      <c r="AD41" s="4"/>
      <c r="AG41" s="1">
        <f t="shared" si="53"/>
        <v>0</v>
      </c>
      <c r="AI41" s="22">
        <f t="shared" ref="AI41" si="64">AG41+AG42+AG43</f>
        <v>0</v>
      </c>
      <c r="AJ41" s="24">
        <f t="shared" ref="AJ41" si="65">AI41/3*100</f>
        <v>0</v>
      </c>
      <c r="AK41" s="24">
        <f t="shared" ref="AK41" si="66">IF(AI41=0,0,1)</f>
        <v>0</v>
      </c>
    </row>
    <row r="42" spans="1:37" x14ac:dyDescent="0.3">
      <c r="A42" s="20"/>
      <c r="B42" s="34"/>
      <c r="C42" s="22"/>
      <c r="D42" s="14" t="s">
        <v>90</v>
      </c>
      <c r="E42" s="14" t="s">
        <v>10</v>
      </c>
      <c r="F42" s="14">
        <v>45.094444000019202</v>
      </c>
      <c r="G42" s="14">
        <f t="shared" si="3"/>
        <v>0.45094444000019202</v>
      </c>
      <c r="H42" s="14">
        <v>1952</v>
      </c>
      <c r="I42" s="14">
        <v>3.3776697661398562E-2</v>
      </c>
      <c r="J42" s="14">
        <f t="shared" si="4"/>
        <v>6.7553395322797125E-2</v>
      </c>
      <c r="K42" s="14" t="s">
        <v>14</v>
      </c>
      <c r="L42" s="14">
        <v>1.5364939499865069</v>
      </c>
      <c r="M42" s="14">
        <f t="shared" si="5"/>
        <v>1.5364939499865069</v>
      </c>
      <c r="N42" s="14">
        <v>7.9572670566509229</v>
      </c>
      <c r="O42" s="14">
        <v>0.35392433447345978</v>
      </c>
      <c r="P42" s="14">
        <f t="shared" si="6"/>
        <v>0.4314738289239885</v>
      </c>
      <c r="Q42" s="14">
        <f t="shared" si="52"/>
        <v>18.442061889349798</v>
      </c>
      <c r="R42" s="14">
        <f t="shared" si="7"/>
        <v>7.5768006091418287E-5</v>
      </c>
      <c r="S42" s="14">
        <f t="shared" si="8"/>
        <v>7.5768006091418288E-2</v>
      </c>
      <c r="T42" s="14">
        <f t="shared" si="9"/>
        <v>76.7737421130999</v>
      </c>
      <c r="U42" s="22"/>
      <c r="V42" s="14"/>
      <c r="W42" s="22"/>
      <c r="X42" s="14">
        <f t="shared" si="10"/>
        <v>7.5768006091418283E-8</v>
      </c>
      <c r="Y42" s="14"/>
      <c r="Z42" s="14">
        <v>1.2079222319995775</v>
      </c>
      <c r="AA42" s="14">
        <v>8.7268012968141999</v>
      </c>
      <c r="AB42" s="12">
        <v>0.13200405487653777</v>
      </c>
      <c r="AC42" s="14"/>
      <c r="AD42" s="4"/>
      <c r="AG42" s="1">
        <f t="shared" si="53"/>
        <v>0</v>
      </c>
      <c r="AI42" s="22"/>
      <c r="AJ42" s="24"/>
      <c r="AK42" s="24"/>
    </row>
    <row r="43" spans="1:37" ht="15" thickBot="1" x14ac:dyDescent="0.35">
      <c r="A43" s="21"/>
      <c r="B43" s="40"/>
      <c r="C43" s="16"/>
      <c r="D43" s="9" t="s">
        <v>91</v>
      </c>
      <c r="E43" s="9" t="s">
        <v>9</v>
      </c>
      <c r="F43" s="9">
        <v>49.613640770607702</v>
      </c>
      <c r="G43" s="9">
        <f t="shared" si="3"/>
        <v>0.49613640770607703</v>
      </c>
      <c r="H43" s="9">
        <v>2362</v>
      </c>
      <c r="I43" s="9">
        <v>2.670428501070746E-2</v>
      </c>
      <c r="J43" s="9">
        <f t="shared" si="4"/>
        <v>5.3408570021414921E-2</v>
      </c>
      <c r="K43" s="9" t="s">
        <v>14</v>
      </c>
      <c r="L43" s="9">
        <v>1.314386749186127</v>
      </c>
      <c r="M43" s="9">
        <f t="shared" si="5"/>
        <v>1.314386749186127</v>
      </c>
      <c r="N43" s="9">
        <v>9.1700219631177866</v>
      </c>
      <c r="O43" s="9">
        <v>0.38843773188152131</v>
      </c>
      <c r="P43" s="9">
        <f t="shared" si="6"/>
        <v>0.39696043151592697</v>
      </c>
      <c r="Q43" s="9">
        <f t="shared" si="52"/>
        <v>23.10059450534899</v>
      </c>
      <c r="R43" s="9">
        <f t="shared" si="7"/>
        <v>1.043553391368364E-4</v>
      </c>
      <c r="S43" s="9">
        <f t="shared" si="8"/>
        <v>0.10435533913683639</v>
      </c>
      <c r="T43" s="9">
        <f t="shared" si="9"/>
        <v>105.74054021363501</v>
      </c>
      <c r="U43" s="16"/>
      <c r="V43" s="9"/>
      <c r="W43" s="16"/>
      <c r="X43" s="9">
        <f t="shared" si="10"/>
        <v>1.043553391368364E-7</v>
      </c>
      <c r="Y43" s="9"/>
      <c r="Z43" s="9">
        <v>1.1084999030466307</v>
      </c>
      <c r="AA43" s="9">
        <v>6.3601701185619515</v>
      </c>
      <c r="AB43" s="11">
        <v>8.0659790561487435E-2</v>
      </c>
      <c r="AC43" s="14"/>
      <c r="AD43" s="4"/>
      <c r="AG43" s="1">
        <f t="shared" si="53"/>
        <v>0</v>
      </c>
      <c r="AI43" s="22"/>
      <c r="AJ43" s="24"/>
      <c r="AK43" s="24"/>
    </row>
    <row r="44" spans="1:37" ht="14.4" customHeight="1" x14ac:dyDescent="0.3">
      <c r="A44" s="19" t="s">
        <v>116</v>
      </c>
      <c r="B44" s="39" t="s">
        <v>117</v>
      </c>
      <c r="C44" s="15">
        <v>1</v>
      </c>
      <c r="D44" s="8" t="s">
        <v>92</v>
      </c>
      <c r="E44" s="8" t="s">
        <v>8</v>
      </c>
      <c r="F44" s="8">
        <v>32.741098724170598</v>
      </c>
      <c r="G44" s="8">
        <f t="shared" si="3"/>
        <v>0.32741098724170598</v>
      </c>
      <c r="H44" s="8">
        <v>2284</v>
      </c>
      <c r="I44" s="8">
        <v>1.9783913125311151E-2</v>
      </c>
      <c r="J44" s="8">
        <f t="shared" si="4"/>
        <v>3.9567826250622301E-2</v>
      </c>
      <c r="K44" s="8" t="s">
        <v>14</v>
      </c>
      <c r="L44" s="8">
        <v>1.12253400693475</v>
      </c>
      <c r="M44" s="8">
        <f t="shared" si="5"/>
        <v>1.12253400693475</v>
      </c>
      <c r="N44" s="8">
        <v>6.8662642383956314</v>
      </c>
      <c r="O44" s="8">
        <v>0.25672081506063432</v>
      </c>
      <c r="P44" s="8">
        <f t="shared" si="6"/>
        <v>0.5286773483368139</v>
      </c>
      <c r="Q44" s="8">
        <f t="shared" si="52"/>
        <v>12.987627065915481</v>
      </c>
      <c r="R44" s="8">
        <f t="shared" si="7"/>
        <v>7.3004826657945934E-5</v>
      </c>
      <c r="S44" s="8">
        <f t="shared" si="8"/>
        <v>7.3004826657945929E-2</v>
      </c>
      <c r="T44" s="8">
        <f t="shared" ref="T44:T64" si="67">S44/0.9869*1000</f>
        <v>73.973884545491885</v>
      </c>
      <c r="U44" s="15">
        <f>AVERAGE(T44:T46)</f>
        <v>44.108773380533734</v>
      </c>
      <c r="V44" s="8"/>
      <c r="W44" s="15"/>
      <c r="X44" s="8">
        <f t="shared" si="10"/>
        <v>7.3004826657945933E-8</v>
      </c>
      <c r="Y44" s="8"/>
      <c r="Z44" s="8">
        <v>1.4796958280682471</v>
      </c>
      <c r="AA44" s="8">
        <v>20.720697261595145</v>
      </c>
      <c r="AB44" s="10">
        <v>0.50742416741775143</v>
      </c>
      <c r="AC44" s="14"/>
      <c r="AD44" s="4"/>
      <c r="AG44" s="1">
        <f t="shared" si="53"/>
        <v>0</v>
      </c>
      <c r="AI44" s="22">
        <f t="shared" ref="AI44" si="68">AG44+AG45+AG46</f>
        <v>0</v>
      </c>
      <c r="AJ44" s="24">
        <f t="shared" ref="AJ44" si="69">AI44/3*100</f>
        <v>0</v>
      </c>
      <c r="AK44" s="24">
        <f t="shared" ref="AK44" si="70">IF(AI44=0,0,1)</f>
        <v>0</v>
      </c>
    </row>
    <row r="45" spans="1:37" x14ac:dyDescent="0.3">
      <c r="A45" s="20"/>
      <c r="B45" s="34"/>
      <c r="C45" s="22"/>
      <c r="D45" s="14" t="s">
        <v>93</v>
      </c>
      <c r="E45" s="14" t="s">
        <v>10</v>
      </c>
      <c r="F45" s="14">
        <v>31.119131960746699</v>
      </c>
      <c r="G45" s="14">
        <f t="shared" si="3"/>
        <v>0.31119131960746699</v>
      </c>
      <c r="H45" s="14">
        <v>2369</v>
      </c>
      <c r="I45" s="14">
        <v>2.6143159699246861E-2</v>
      </c>
      <c r="J45" s="14">
        <f t="shared" si="4"/>
        <v>5.2286319398493722E-2</v>
      </c>
      <c r="K45" s="14" t="s">
        <v>14</v>
      </c>
      <c r="L45" s="14">
        <v>1.3972136282399681</v>
      </c>
      <c r="M45" s="14">
        <f t="shared" si="5"/>
        <v>1.3972136282399681</v>
      </c>
      <c r="N45" s="14">
        <v>8.5296401080020754</v>
      </c>
      <c r="O45" s="14">
        <v>0.2440317940546122</v>
      </c>
      <c r="P45" s="14">
        <f t="shared" si="6"/>
        <v>0.54136636934283611</v>
      </c>
      <c r="Q45" s="14">
        <f t="shared" si="52"/>
        <v>15.755762808754067</v>
      </c>
      <c r="R45" s="14">
        <f t="shared" si="7"/>
        <v>2.6212636254392677E-5</v>
      </c>
      <c r="S45" s="14">
        <f t="shared" si="8"/>
        <v>2.6212636254392678E-2</v>
      </c>
      <c r="T45" s="14">
        <f t="shared" si="67"/>
        <v>26.560579850433356</v>
      </c>
      <c r="U45" s="22"/>
      <c r="V45" s="14"/>
      <c r="W45" s="22"/>
      <c r="X45" s="14">
        <f t="shared" si="10"/>
        <v>2.6212636254392675E-8</v>
      </c>
      <c r="Y45" s="14"/>
      <c r="Z45" s="14">
        <v>1.515379096863573</v>
      </c>
      <c r="AA45" s="14">
        <v>23.21203146522846</v>
      </c>
      <c r="AB45" s="12">
        <v>0.60555273539049304</v>
      </c>
      <c r="AC45" s="14"/>
      <c r="AD45" s="4"/>
      <c r="AG45" s="1">
        <f t="shared" si="53"/>
        <v>0</v>
      </c>
      <c r="AI45" s="22"/>
      <c r="AJ45" s="24"/>
      <c r="AK45" s="24"/>
    </row>
    <row r="46" spans="1:37" x14ac:dyDescent="0.3">
      <c r="A46" s="20"/>
      <c r="B46" s="34"/>
      <c r="C46" s="22"/>
      <c r="D46" s="14" t="s">
        <v>94</v>
      </c>
      <c r="E46" s="14" t="s">
        <v>9</v>
      </c>
      <c r="F46" s="14">
        <v>28.059136754402498</v>
      </c>
      <c r="G46" s="14">
        <f t="shared" si="3"/>
        <v>0.28059136754402497</v>
      </c>
      <c r="H46" s="14">
        <v>2197</v>
      </c>
      <c r="I46" s="14">
        <v>2.225940724909151E-2</v>
      </c>
      <c r="J46" s="14">
        <f t="shared" si="4"/>
        <v>4.4518814498183019E-2</v>
      </c>
      <c r="K46" s="14" t="s">
        <v>14</v>
      </c>
      <c r="L46" s="14">
        <v>1.2426670432400699</v>
      </c>
      <c r="M46" s="14">
        <f t="shared" si="5"/>
        <v>1.2426670432400699</v>
      </c>
      <c r="N46" s="14">
        <v>7.5028511884616718</v>
      </c>
      <c r="O46" s="14">
        <v>0.22016866910056629</v>
      </c>
      <c r="P46" s="14">
        <f t="shared" si="6"/>
        <v>0.56522949429688196</v>
      </c>
      <c r="Q46" s="14">
        <f t="shared" si="52"/>
        <v>13.273990943793288</v>
      </c>
      <c r="R46" s="14">
        <f t="shared" si="7"/>
        <v>3.1375382435407612E-5</v>
      </c>
      <c r="S46" s="14">
        <f t="shared" si="8"/>
        <v>3.1375382435407613E-2</v>
      </c>
      <c r="T46" s="14">
        <f t="shared" si="67"/>
        <v>31.791855745675967</v>
      </c>
      <c r="U46" s="22"/>
      <c r="V46" s="14"/>
      <c r="W46" s="22"/>
      <c r="X46" s="14">
        <f t="shared" si="10"/>
        <v>3.1375382435407609E-8</v>
      </c>
      <c r="Y46" s="14"/>
      <c r="Z46" s="14">
        <v>1.5826989914031451</v>
      </c>
      <c r="AA46" s="14">
        <v>28.756689151796543</v>
      </c>
      <c r="AB46" s="12">
        <v>0.84529115543023337</v>
      </c>
      <c r="AC46" s="14"/>
      <c r="AD46" s="4"/>
      <c r="AG46" s="1">
        <f t="shared" si="53"/>
        <v>0</v>
      </c>
      <c r="AI46" s="22"/>
      <c r="AJ46" s="24"/>
      <c r="AK46" s="24"/>
    </row>
    <row r="47" spans="1:37" x14ac:dyDescent="0.3">
      <c r="A47" s="20"/>
      <c r="B47" s="34"/>
      <c r="C47" s="22">
        <v>2</v>
      </c>
      <c r="D47" s="14" t="s">
        <v>98</v>
      </c>
      <c r="E47" s="14" t="s">
        <v>8</v>
      </c>
      <c r="F47" s="14">
        <v>37.414533916933898</v>
      </c>
      <c r="G47" s="14">
        <f t="shared" si="3"/>
        <v>0.37414533916933901</v>
      </c>
      <c r="H47" s="14">
        <v>7628</v>
      </c>
      <c r="I47" s="14">
        <v>1.5357456028756119E-2</v>
      </c>
      <c r="J47" s="14">
        <f t="shared" si="4"/>
        <v>3.0714912057512238E-2</v>
      </c>
      <c r="K47" s="14" t="s">
        <v>13</v>
      </c>
      <c r="L47" s="14">
        <v>1.1221533999536639</v>
      </c>
      <c r="M47" s="14">
        <f t="shared" si="5"/>
        <v>1.1221533999536639</v>
      </c>
      <c r="N47" s="14">
        <v>17.098188173835869</v>
      </c>
      <c r="O47" s="14">
        <v>0.29286056293274648</v>
      </c>
      <c r="P47" s="14">
        <f t="shared" si="6"/>
        <v>0.4925376004647018</v>
      </c>
      <c r="Q47" s="14">
        <f t="shared" si="52"/>
        <v>34.714483031760388</v>
      </c>
      <c r="R47" s="14">
        <f t="shared" si="7"/>
        <v>1.7622932137976647E-5</v>
      </c>
      <c r="S47" s="14">
        <f t="shared" si="8"/>
        <v>1.7622932137976648E-2</v>
      </c>
      <c r="T47" s="14">
        <f t="shared" si="67"/>
        <v>17.856856964207768</v>
      </c>
      <c r="U47" s="22">
        <f>AVERAGE(T47:T49)</f>
        <v>17.88002899746505</v>
      </c>
      <c r="V47" s="14">
        <f t="shared" si="55"/>
        <v>17.856856964207768</v>
      </c>
      <c r="W47" s="22">
        <f>AVERAGE(V47:V49)</f>
        <v>17.88002899746505</v>
      </c>
      <c r="X47" s="14">
        <f t="shared" si="10"/>
        <v>1.7622932137976648E-8</v>
      </c>
      <c r="Y47" s="14">
        <f t="shared" si="11"/>
        <v>1.7622932137976648E-8</v>
      </c>
      <c r="Z47" s="14">
        <v>1.3768802538274543</v>
      </c>
      <c r="AA47" s="14">
        <v>14.939259371568948</v>
      </c>
      <c r="AB47" s="12">
        <v>0.30488749506902774</v>
      </c>
      <c r="AC47" s="14"/>
      <c r="AD47" s="4"/>
      <c r="AG47" s="1">
        <f t="shared" si="53"/>
        <v>1</v>
      </c>
      <c r="AI47" s="22">
        <f t="shared" ref="AI47" si="71">AG47+AG48+AG49</f>
        <v>3</v>
      </c>
      <c r="AJ47" s="24">
        <f t="shared" ref="AJ47" si="72">AI47/3*100</f>
        <v>100</v>
      </c>
      <c r="AK47" s="24">
        <f t="shared" ref="AK47" si="73">IF(AI47=0,0,1)</f>
        <v>1</v>
      </c>
    </row>
    <row r="48" spans="1:37" x14ac:dyDescent="0.3">
      <c r="A48" s="20"/>
      <c r="B48" s="34"/>
      <c r="C48" s="22"/>
      <c r="D48" s="14" t="s">
        <v>99</v>
      </c>
      <c r="E48" s="14" t="s">
        <v>10</v>
      </c>
      <c r="F48" s="14">
        <v>34.198294924362202</v>
      </c>
      <c r="G48" s="14">
        <f t="shared" si="3"/>
        <v>0.34198294924362199</v>
      </c>
      <c r="H48" s="14">
        <v>8370</v>
      </c>
      <c r="I48" s="14">
        <v>1.45413917408824E-2</v>
      </c>
      <c r="J48" s="14">
        <f t="shared" si="4"/>
        <v>2.9082783481764799E-2</v>
      </c>
      <c r="K48" s="14" t="s">
        <v>13</v>
      </c>
      <c r="L48" s="14">
        <v>1.396095062900639</v>
      </c>
      <c r="M48" s="14">
        <f t="shared" si="5"/>
        <v>1.396095062900639</v>
      </c>
      <c r="N48" s="14">
        <v>17.104346958990369</v>
      </c>
      <c r="O48" s="14">
        <v>0.26580548119805508</v>
      </c>
      <c r="P48" s="14">
        <f t="shared" si="6"/>
        <v>0.51959268219939325</v>
      </c>
      <c r="Q48" s="14">
        <f t="shared" si="52"/>
        <v>32.918760300066332</v>
      </c>
      <c r="R48" s="14">
        <f t="shared" si="7"/>
        <v>8.746859191470226E-6</v>
      </c>
      <c r="S48" s="14">
        <f t="shared" si="8"/>
        <v>8.746859191470226E-3</v>
      </c>
      <c r="T48" s="14">
        <f t="shared" si="67"/>
        <v>8.8629640201339797</v>
      </c>
      <c r="U48" s="22"/>
      <c r="V48" s="14">
        <f t="shared" si="55"/>
        <v>8.8629640201339797</v>
      </c>
      <c r="W48" s="22"/>
      <c r="X48" s="14">
        <f t="shared" si="10"/>
        <v>8.7468591914702263E-9</v>
      </c>
      <c r="Y48" s="14">
        <f t="shared" si="11"/>
        <v>8.7468591914702263E-9</v>
      </c>
      <c r="Z48" s="14">
        <v>1.4476375116640319</v>
      </c>
      <c r="AA48" s="14">
        <v>18.711332089909362</v>
      </c>
      <c r="AB48" s="12">
        <v>0.43290265614180723</v>
      </c>
      <c r="AC48" s="14"/>
      <c r="AD48" s="4"/>
      <c r="AG48" s="1">
        <f t="shared" si="53"/>
        <v>1</v>
      </c>
      <c r="AI48" s="22"/>
      <c r="AJ48" s="24"/>
      <c r="AK48" s="24"/>
    </row>
    <row r="49" spans="1:37" x14ac:dyDescent="0.3">
      <c r="A49" s="20"/>
      <c r="B49" s="34"/>
      <c r="C49" s="22"/>
      <c r="D49" s="14" t="s">
        <v>100</v>
      </c>
      <c r="E49" s="14" t="s">
        <v>9</v>
      </c>
      <c r="F49" s="14">
        <v>39.871967550334404</v>
      </c>
      <c r="G49" s="14">
        <f t="shared" si="3"/>
        <v>0.39871967550334403</v>
      </c>
      <c r="H49" s="14">
        <v>4832</v>
      </c>
      <c r="I49" s="14">
        <v>1.7319206241895441E-2</v>
      </c>
      <c r="J49" s="14">
        <f t="shared" si="4"/>
        <v>3.4638412483790883E-2</v>
      </c>
      <c r="K49" s="14" t="s">
        <v>13</v>
      </c>
      <c r="L49" s="14">
        <v>1.523303811122243</v>
      </c>
      <c r="M49" s="14">
        <f t="shared" si="5"/>
        <v>1.523303811122243</v>
      </c>
      <c r="N49" s="14">
        <v>11.30957462206587</v>
      </c>
      <c r="O49" s="14">
        <v>0.31118943738863247</v>
      </c>
      <c r="P49" s="14">
        <f t="shared" si="6"/>
        <v>0.47420872600881581</v>
      </c>
      <c r="Q49" s="14">
        <f t="shared" si="52"/>
        <v>23.849360000717532</v>
      </c>
      <c r="R49" s="14">
        <f t="shared" si="7"/>
        <v>2.6567610523347906E-5</v>
      </c>
      <c r="S49" s="14">
        <f t="shared" si="8"/>
        <v>2.6567610523347905E-2</v>
      </c>
      <c r="T49" s="14">
        <f t="shared" si="67"/>
        <v>26.920266008053403</v>
      </c>
      <c r="U49" s="22"/>
      <c r="V49" s="14">
        <f t="shared" si="55"/>
        <v>26.920266008053403</v>
      </c>
      <c r="W49" s="22"/>
      <c r="X49" s="14">
        <f t="shared" si="10"/>
        <v>2.6567610523347904E-8</v>
      </c>
      <c r="Y49" s="14">
        <f t="shared" si="11"/>
        <v>2.6567610523347904E-8</v>
      </c>
      <c r="Z49" s="14">
        <v>1.3228167138926434</v>
      </c>
      <c r="AA49" s="14">
        <v>12.578289228066927</v>
      </c>
      <c r="AB49" s="12">
        <v>0.23324340708702349</v>
      </c>
      <c r="AC49" s="14"/>
      <c r="AD49" s="4"/>
      <c r="AG49" s="1">
        <f t="shared" si="53"/>
        <v>1</v>
      </c>
      <c r="AI49" s="22"/>
      <c r="AJ49" s="24"/>
      <c r="AK49" s="24"/>
    </row>
    <row r="50" spans="1:37" x14ac:dyDescent="0.3">
      <c r="A50" s="20"/>
      <c r="B50" s="34"/>
      <c r="C50" s="22">
        <v>3</v>
      </c>
      <c r="D50" s="14" t="s">
        <v>95</v>
      </c>
      <c r="E50" s="14" t="s">
        <v>8</v>
      </c>
      <c r="F50" s="14">
        <v>37.545146642995903</v>
      </c>
      <c r="G50" s="14">
        <f t="shared" si="3"/>
        <v>0.37545146642995902</v>
      </c>
      <c r="H50" s="14">
        <v>3609</v>
      </c>
      <c r="I50" s="14">
        <v>1.891981177670014E-2</v>
      </c>
      <c r="J50" s="14">
        <f t="shared" si="4"/>
        <v>3.783962355340028E-2</v>
      </c>
      <c r="K50" s="14" t="s">
        <v>13</v>
      </c>
      <c r="L50" s="14">
        <v>2.335702495968226</v>
      </c>
      <c r="M50" s="14">
        <f t="shared" si="5"/>
        <v>2.335702495968226</v>
      </c>
      <c r="N50" s="14">
        <v>8.9222202480421426</v>
      </c>
      <c r="O50" s="14">
        <v>0.29365820507664703</v>
      </c>
      <c r="P50" s="14">
        <f t="shared" si="6"/>
        <v>0.49173995832080125</v>
      </c>
      <c r="Q50" s="14">
        <f t="shared" si="52"/>
        <v>18.144183927028898</v>
      </c>
      <c r="R50" s="14">
        <f t="shared" si="7"/>
        <v>1.5109465295410649E-5</v>
      </c>
      <c r="S50" s="14">
        <f t="shared" si="8"/>
        <v>1.510946529541065E-2</v>
      </c>
      <c r="T50" s="14">
        <f t="shared" si="67"/>
        <v>15.310026644452984</v>
      </c>
      <c r="U50" s="22">
        <f>AVERAGE(T50:T52)</f>
        <v>11.190327834207032</v>
      </c>
      <c r="V50" s="14">
        <f t="shared" si="55"/>
        <v>15.310026644452984</v>
      </c>
      <c r="W50" s="22">
        <f>AVERAGE(V50:V52)</f>
        <v>11.190327834207032</v>
      </c>
      <c r="X50" s="14">
        <f t="shared" si="10"/>
        <v>1.5109465295410647E-8</v>
      </c>
      <c r="Y50" s="14">
        <f t="shared" si="11"/>
        <v>1.5109465295410647E-8</v>
      </c>
      <c r="Z50" s="14">
        <v>1.3740067738540902</v>
      </c>
      <c r="AA50" s="14">
        <v>14.803293860190953</v>
      </c>
      <c r="AB50" s="12">
        <v>0.30057762881963862</v>
      </c>
      <c r="AC50" s="14"/>
      <c r="AD50" s="4"/>
      <c r="AG50" s="1">
        <f t="shared" si="53"/>
        <v>1</v>
      </c>
      <c r="AI50" s="22">
        <f t="shared" ref="AI50" si="74">AG50+AG51+AG52</f>
        <v>3</v>
      </c>
      <c r="AJ50" s="24">
        <f t="shared" ref="AJ50" si="75">AI50/3*100</f>
        <v>100</v>
      </c>
      <c r="AK50" s="24">
        <f t="shared" ref="AK50" si="76">IF(AI50=0,0,1)</f>
        <v>1</v>
      </c>
    </row>
    <row r="51" spans="1:37" x14ac:dyDescent="0.3">
      <c r="A51" s="20"/>
      <c r="B51" s="34"/>
      <c r="C51" s="22"/>
      <c r="D51" s="14" t="s">
        <v>96</v>
      </c>
      <c r="E51" s="14" t="s">
        <v>10</v>
      </c>
      <c r="F51" s="14">
        <v>40.481467586500202</v>
      </c>
      <c r="G51" s="14">
        <f t="shared" si="3"/>
        <v>0.40481467586500203</v>
      </c>
      <c r="H51" s="14">
        <v>4943</v>
      </c>
      <c r="I51" s="14">
        <v>1.633928206347212E-2</v>
      </c>
      <c r="J51" s="14">
        <f t="shared" si="4"/>
        <v>3.267856412694424E-2</v>
      </c>
      <c r="K51" s="14" t="s">
        <v>13</v>
      </c>
      <c r="L51" s="14">
        <v>2.709708312069862</v>
      </c>
      <c r="M51" s="14">
        <f t="shared" si="5"/>
        <v>2.709708312069862</v>
      </c>
      <c r="N51" s="14">
        <v>10.19589151605008</v>
      </c>
      <c r="O51" s="14">
        <v>0.31583626393765091</v>
      </c>
      <c r="P51" s="14">
        <f t="shared" si="6"/>
        <v>0.46956189945979737</v>
      </c>
      <c r="Q51" s="14">
        <f t="shared" si="52"/>
        <v>21.713626100797015</v>
      </c>
      <c r="R51" s="14">
        <f t="shared" si="7"/>
        <v>1.0818935119817843E-5</v>
      </c>
      <c r="S51" s="14">
        <f t="shared" si="8"/>
        <v>1.0818935119817843E-2</v>
      </c>
      <c r="T51" s="14">
        <f t="shared" si="67"/>
        <v>10.962544452140888</v>
      </c>
      <c r="U51" s="22"/>
      <c r="V51" s="14">
        <f t="shared" si="55"/>
        <v>10.962544452140888</v>
      </c>
      <c r="W51" s="22"/>
      <c r="X51" s="14">
        <f t="shared" si="10"/>
        <v>1.0818935119817845E-8</v>
      </c>
      <c r="Y51" s="14">
        <f t="shared" si="11"/>
        <v>1.0818935119817845E-8</v>
      </c>
      <c r="Z51" s="14">
        <v>1.3094077130969957</v>
      </c>
      <c r="AA51" s="14">
        <v>12.05292354176205</v>
      </c>
      <c r="AB51" s="12">
        <v>0.21825128227272911</v>
      </c>
      <c r="AC51" s="14"/>
      <c r="AD51" s="4"/>
      <c r="AG51" s="1">
        <f t="shared" si="53"/>
        <v>1</v>
      </c>
      <c r="AI51" s="22"/>
      <c r="AJ51" s="24"/>
      <c r="AK51" s="24"/>
    </row>
    <row r="52" spans="1:37" x14ac:dyDescent="0.3">
      <c r="A52" s="20"/>
      <c r="B52" s="34"/>
      <c r="C52" s="22"/>
      <c r="D52" s="14" t="s">
        <v>97</v>
      </c>
      <c r="E52" s="14" t="s">
        <v>9</v>
      </c>
      <c r="F52" s="14">
        <v>27.227676190379199</v>
      </c>
      <c r="G52" s="14">
        <f t="shared" si="3"/>
        <v>0.27227676190379202</v>
      </c>
      <c r="H52" s="14">
        <v>4139</v>
      </c>
      <c r="I52" s="14">
        <v>1.8797790767657158E-2</v>
      </c>
      <c r="J52" s="14">
        <f t="shared" si="4"/>
        <v>3.7595581535314317E-2</v>
      </c>
      <c r="K52" s="14" t="s">
        <v>13</v>
      </c>
      <c r="L52" s="14">
        <v>2.024492753091129</v>
      </c>
      <c r="M52" s="14">
        <f t="shared" si="5"/>
        <v>2.024492753091129</v>
      </c>
      <c r="N52" s="14">
        <v>9.1997474996923394</v>
      </c>
      <c r="O52" s="14">
        <v>0.21289447552752699</v>
      </c>
      <c r="P52" s="14">
        <f t="shared" si="6"/>
        <v>0.57250368786992123</v>
      </c>
      <c r="Q52" s="14">
        <f t="shared" si="52"/>
        <v>16.069324433387088</v>
      </c>
      <c r="R52" s="14">
        <f t="shared" si="7"/>
        <v>7.2028032035082703E-6</v>
      </c>
      <c r="S52" s="14">
        <f t="shared" si="8"/>
        <v>7.2028032035082699E-3</v>
      </c>
      <c r="T52" s="14">
        <f t="shared" si="67"/>
        <v>7.298412406027226</v>
      </c>
      <c r="U52" s="22"/>
      <c r="V52" s="14">
        <f t="shared" si="55"/>
        <v>7.298412406027226</v>
      </c>
      <c r="W52" s="22"/>
      <c r="X52" s="14">
        <f t="shared" si="10"/>
        <v>7.20280320350827E-9</v>
      </c>
      <c r="Y52" s="14">
        <f t="shared" si="11"/>
        <v>7.20280320350827E-9</v>
      </c>
      <c r="Z52" s="14">
        <v>1.6009911238116576</v>
      </c>
      <c r="AA52" s="14">
        <v>30.480058369055286</v>
      </c>
      <c r="AB52" s="12">
        <v>0.92547797346708227</v>
      </c>
      <c r="AC52" s="14"/>
      <c r="AD52" s="4"/>
      <c r="AG52" s="1">
        <f t="shared" si="53"/>
        <v>1</v>
      </c>
      <c r="AI52" s="22"/>
      <c r="AJ52" s="24"/>
      <c r="AK52" s="24"/>
    </row>
    <row r="53" spans="1:37" x14ac:dyDescent="0.3">
      <c r="A53" s="20"/>
      <c r="B53" s="34"/>
      <c r="C53" s="22">
        <v>4</v>
      </c>
      <c r="D53" s="14" t="s">
        <v>101</v>
      </c>
      <c r="E53" s="14" t="s">
        <v>8</v>
      </c>
      <c r="F53" s="14">
        <v>26.914630602885101</v>
      </c>
      <c r="G53" s="14">
        <f t="shared" si="3"/>
        <v>0.26914630602885103</v>
      </c>
      <c r="H53" s="14">
        <v>4421</v>
      </c>
      <c r="I53" s="14">
        <v>1.5907576671085031E-2</v>
      </c>
      <c r="J53" s="14">
        <f t="shared" si="4"/>
        <v>3.1815153342170062E-2</v>
      </c>
      <c r="K53" s="14" t="s">
        <v>14</v>
      </c>
      <c r="L53" s="14">
        <v>1.716035271582468</v>
      </c>
      <c r="M53" s="14">
        <f t="shared" si="5"/>
        <v>1.716035271582468</v>
      </c>
      <c r="N53" s="14">
        <v>11.23423486655726</v>
      </c>
      <c r="O53" s="14">
        <v>0.21107690175370369</v>
      </c>
      <c r="P53" s="14">
        <f t="shared" si="6"/>
        <v>0.57432126164374453</v>
      </c>
      <c r="Q53" s="14">
        <f t="shared" si="52"/>
        <v>19.560889726429689</v>
      </c>
      <c r="R53" s="14">
        <f t="shared" si="7"/>
        <v>6.4789517234251839E-6</v>
      </c>
      <c r="S53" s="14">
        <f t="shared" si="8"/>
        <v>6.4789517234251836E-3</v>
      </c>
      <c r="T53" s="14">
        <f t="shared" si="67"/>
        <v>6.5649526025181713</v>
      </c>
      <c r="U53" s="22">
        <f>AVERAGE(T53:T55)</f>
        <v>10.829448096763571</v>
      </c>
      <c r="V53" s="14"/>
      <c r="W53" s="22"/>
      <c r="X53" s="14">
        <f t="shared" si="10"/>
        <v>6.4789517234251833E-9</v>
      </c>
      <c r="Y53" s="14"/>
      <c r="Z53" s="14">
        <v>1.6078781267365279</v>
      </c>
      <c r="AA53" s="14">
        <v>31.155345540160155</v>
      </c>
      <c r="AB53" s="12">
        <v>0.95760205589285818</v>
      </c>
      <c r="AC53" s="14"/>
      <c r="AD53" s="4"/>
      <c r="AG53" s="1">
        <f t="shared" si="53"/>
        <v>0</v>
      </c>
      <c r="AI53" s="22">
        <f t="shared" ref="AI53" si="77">AG53+AG54+AG55</f>
        <v>0</v>
      </c>
      <c r="AJ53" s="24">
        <f t="shared" ref="AJ53" si="78">AI53/3*100</f>
        <v>0</v>
      </c>
      <c r="AK53" s="24">
        <f t="shared" ref="AK53" si="79">IF(AI53=0,0,1)</f>
        <v>0</v>
      </c>
    </row>
    <row r="54" spans="1:37" x14ac:dyDescent="0.3">
      <c r="A54" s="20"/>
      <c r="B54" s="34"/>
      <c r="C54" s="22"/>
      <c r="D54" s="14" t="s">
        <v>102</v>
      </c>
      <c r="E54" s="14" t="s">
        <v>10</v>
      </c>
      <c r="F54" s="14">
        <v>31.714618829853499</v>
      </c>
      <c r="G54" s="14">
        <f t="shared" si="3"/>
        <v>0.31714618829853497</v>
      </c>
      <c r="H54" s="14">
        <v>2360</v>
      </c>
      <c r="I54" s="14">
        <v>2.378883279260292E-2</v>
      </c>
      <c r="J54" s="14">
        <f t="shared" si="4"/>
        <v>4.757766558520584E-2</v>
      </c>
      <c r="K54" s="14" t="s">
        <v>14</v>
      </c>
      <c r="L54" s="14">
        <v>1.989178840047374</v>
      </c>
      <c r="M54" s="14">
        <f t="shared" si="5"/>
        <v>1.989178840047374</v>
      </c>
      <c r="N54" s="14">
        <v>6.8249633027500023</v>
      </c>
      <c r="O54" s="14">
        <v>0.24836514139997501</v>
      </c>
      <c r="P54" s="14">
        <f t="shared" si="6"/>
        <v>0.53703302199747327</v>
      </c>
      <c r="Q54" s="14">
        <f t="shared" si="52"/>
        <v>12.708647370258198</v>
      </c>
      <c r="R54" s="14">
        <f t="shared" si="7"/>
        <v>2.1409508024246482E-5</v>
      </c>
      <c r="S54" s="14">
        <f t="shared" si="8"/>
        <v>2.1409508024246481E-2</v>
      </c>
      <c r="T54" s="14">
        <f t="shared" si="67"/>
        <v>21.693695434437615</v>
      </c>
      <c r="U54" s="22"/>
      <c r="V54" s="14"/>
      <c r="W54" s="22"/>
      <c r="X54" s="14">
        <f t="shared" si="10"/>
        <v>2.140950802424648E-8</v>
      </c>
      <c r="Y54" s="14"/>
      <c r="Z54" s="14">
        <v>1.5022783857432234</v>
      </c>
      <c r="AA54" s="14">
        <v>22.264348140995349</v>
      </c>
      <c r="AB54" s="12">
        <v>0.56749593391606123</v>
      </c>
      <c r="AC54" s="14"/>
      <c r="AD54" s="4"/>
      <c r="AG54" s="1">
        <f t="shared" si="53"/>
        <v>0</v>
      </c>
      <c r="AI54" s="22"/>
      <c r="AJ54" s="24"/>
      <c r="AK54" s="24"/>
    </row>
    <row r="55" spans="1:37" x14ac:dyDescent="0.3">
      <c r="A55" s="20"/>
      <c r="B55" s="34"/>
      <c r="C55" s="22"/>
      <c r="D55" s="14" t="s">
        <v>103</v>
      </c>
      <c r="E55" s="14" t="s">
        <v>9</v>
      </c>
      <c r="F55" s="14">
        <v>32.762676499726801</v>
      </c>
      <c r="G55" s="14">
        <f t="shared" si="3"/>
        <v>0.32762676499726801</v>
      </c>
      <c r="H55" s="14">
        <v>5227</v>
      </c>
      <c r="I55" s="14">
        <v>1.17889640704943E-2</v>
      </c>
      <c r="J55" s="14">
        <f t="shared" si="4"/>
        <v>2.3577928140988601E-2</v>
      </c>
      <c r="K55" s="14" t="s">
        <v>14</v>
      </c>
      <c r="L55" s="14">
        <v>2.7096817824689738</v>
      </c>
      <c r="M55" s="14">
        <f t="shared" si="5"/>
        <v>2.7096817824689738</v>
      </c>
      <c r="N55" s="14">
        <v>11.926732055941519</v>
      </c>
      <c r="O55" s="14">
        <v>0.25603065950858311</v>
      </c>
      <c r="P55" s="14">
        <f t="shared" si="6"/>
        <v>0.52936750388886522</v>
      </c>
      <c r="Q55" s="14">
        <f t="shared" si="52"/>
        <v>22.530155267039973</v>
      </c>
      <c r="R55" s="14">
        <f t="shared" si="7"/>
        <v>4.1742872324162399E-6</v>
      </c>
      <c r="S55" s="14">
        <f t="shared" si="8"/>
        <v>4.1742872324162395E-3</v>
      </c>
      <c r="T55" s="14">
        <f t="shared" si="67"/>
        <v>4.2296962533349278</v>
      </c>
      <c r="U55" s="22"/>
      <c r="V55" s="14"/>
      <c r="W55" s="22"/>
      <c r="X55" s="14">
        <f t="shared" si="10"/>
        <v>4.17428723241624E-9</v>
      </c>
      <c r="Y55" s="14"/>
      <c r="Z55" s="14">
        <v>1.4792211170060106</v>
      </c>
      <c r="AA55" s="14">
        <v>20.689423427391553</v>
      </c>
      <c r="AB55" s="12">
        <v>0.50623211955935721</v>
      </c>
      <c r="AC55" s="14"/>
      <c r="AD55" s="4"/>
      <c r="AG55" s="1">
        <f t="shared" si="53"/>
        <v>0</v>
      </c>
      <c r="AI55" s="22"/>
      <c r="AJ55" s="24"/>
      <c r="AK55" s="24"/>
    </row>
    <row r="56" spans="1:37" x14ac:dyDescent="0.3">
      <c r="A56" s="20"/>
      <c r="B56" s="34"/>
      <c r="C56" s="22">
        <v>5</v>
      </c>
      <c r="D56" s="14" t="s">
        <v>104</v>
      </c>
      <c r="E56" s="14" t="s">
        <v>8</v>
      </c>
      <c r="F56" s="14">
        <v>31.797037882523501</v>
      </c>
      <c r="G56" s="14">
        <f t="shared" si="3"/>
        <v>0.31797037882523499</v>
      </c>
      <c r="H56" s="14">
        <v>6395</v>
      </c>
      <c r="I56" s="14">
        <v>1.454095051903437E-2</v>
      </c>
      <c r="J56" s="14">
        <f t="shared" si="4"/>
        <v>2.9081901038068739E-2</v>
      </c>
      <c r="K56" s="14" t="s">
        <v>14</v>
      </c>
      <c r="L56" s="14">
        <v>1.9194414255550589</v>
      </c>
      <c r="M56" s="14">
        <f t="shared" si="5"/>
        <v>1.9194414255550589</v>
      </c>
      <c r="N56" s="14">
        <v>14.83538426078117</v>
      </c>
      <c r="O56" s="14">
        <v>0.2479457456034288</v>
      </c>
      <c r="P56" s="14">
        <f t="shared" si="6"/>
        <v>0.53745241779401942</v>
      </c>
      <c r="Q56" s="14">
        <f t="shared" si="52"/>
        <v>27.603158474331927</v>
      </c>
      <c r="R56" s="14">
        <f t="shared" si="7"/>
        <v>4.9239794312204787E-6</v>
      </c>
      <c r="S56" s="14">
        <f t="shared" si="8"/>
        <v>4.9239794312204788E-3</v>
      </c>
      <c r="T56" s="14">
        <f t="shared" si="67"/>
        <v>4.9893397823695196</v>
      </c>
      <c r="U56" s="22">
        <f>AVERAGE(T56:T58)</f>
        <v>6.6941294069997594</v>
      </c>
      <c r="V56" s="14"/>
      <c r="W56" s="22">
        <f>AVERAGE(V56:V58)</f>
        <v>7.546524219314878</v>
      </c>
      <c r="X56" s="14">
        <f t="shared" si="10"/>
        <v>4.9239794312204789E-9</v>
      </c>
      <c r="Y56" s="14"/>
      <c r="Z56" s="14">
        <v>1.500465166584483</v>
      </c>
      <c r="AA56" s="14">
        <v>22.136267512456765</v>
      </c>
      <c r="AB56" s="12">
        <v>0.56242056576186161</v>
      </c>
      <c r="AC56" s="14"/>
      <c r="AD56" s="4"/>
      <c r="AG56" s="1">
        <f t="shared" si="53"/>
        <v>0</v>
      </c>
      <c r="AI56" s="22">
        <f t="shared" ref="AI56" si="80">AG56+AG57+AG58</f>
        <v>2</v>
      </c>
      <c r="AJ56" s="24">
        <f t="shared" ref="AJ56" si="81">AI56/3*100</f>
        <v>66.666666666666657</v>
      </c>
      <c r="AK56" s="24">
        <f t="shared" ref="AK56" si="82">IF(AI56=0,0,1)</f>
        <v>1</v>
      </c>
    </row>
    <row r="57" spans="1:37" x14ac:dyDescent="0.3">
      <c r="A57" s="20"/>
      <c r="B57" s="34"/>
      <c r="C57" s="22"/>
      <c r="D57" s="14" t="s">
        <v>105</v>
      </c>
      <c r="E57" s="14" t="s">
        <v>10</v>
      </c>
      <c r="F57" s="14">
        <v>49.782222322394702</v>
      </c>
      <c r="G57" s="14">
        <f t="shared" si="3"/>
        <v>0.49782222322394704</v>
      </c>
      <c r="H57" s="14">
        <v>7767</v>
      </c>
      <c r="I57" s="14">
        <v>1.1655416574472281E-2</v>
      </c>
      <c r="J57" s="14">
        <f t="shared" si="4"/>
        <v>2.3310833148944561E-2</v>
      </c>
      <c r="K57" s="14" t="s">
        <v>13</v>
      </c>
      <c r="L57" s="14">
        <v>2.5390541543554379</v>
      </c>
      <c r="M57" s="14">
        <f t="shared" si="5"/>
        <v>2.5390541543554379</v>
      </c>
      <c r="N57" s="14">
        <v>15.41514526009126</v>
      </c>
      <c r="O57" s="14">
        <v>0.3907045352623702</v>
      </c>
      <c r="P57" s="14">
        <f t="shared" si="6"/>
        <v>0.39469362813507808</v>
      </c>
      <c r="Q57" s="14">
        <f t="shared" si="52"/>
        <v>39.055976993922116</v>
      </c>
      <c r="R57" s="14">
        <f t="shared" si="7"/>
        <v>9.9499045859971528E-6</v>
      </c>
      <c r="S57" s="14">
        <f t="shared" si="8"/>
        <v>9.9499045859971526E-3</v>
      </c>
      <c r="T57" s="14">
        <f t="shared" si="67"/>
        <v>10.081978504404857</v>
      </c>
      <c r="U57" s="22"/>
      <c r="V57" s="14">
        <f t="shared" si="55"/>
        <v>10.081978504404857</v>
      </c>
      <c r="W57" s="22"/>
      <c r="X57" s="14">
        <f t="shared" si="10"/>
        <v>9.9499045859971515E-9</v>
      </c>
      <c r="Y57" s="14">
        <f t="shared" si="11"/>
        <v>9.9499045859971515E-9</v>
      </c>
      <c r="Z57" s="14">
        <v>1.1047911089073166</v>
      </c>
      <c r="AA57" s="14">
        <v>6.2855567155670968</v>
      </c>
      <c r="AB57" s="12">
        <v>7.9191170081673729E-2</v>
      </c>
      <c r="AC57" s="14"/>
      <c r="AD57" s="4"/>
      <c r="AG57" s="1">
        <f t="shared" si="53"/>
        <v>1</v>
      </c>
      <c r="AI57" s="22"/>
      <c r="AJ57" s="24"/>
      <c r="AK57" s="24"/>
    </row>
    <row r="58" spans="1:37" x14ac:dyDescent="0.3">
      <c r="A58" s="20"/>
      <c r="B58" s="34"/>
      <c r="C58" s="22"/>
      <c r="D58" s="14" t="s">
        <v>106</v>
      </c>
      <c r="E58" s="14" t="s">
        <v>9</v>
      </c>
      <c r="F58" s="14">
        <v>39.114356857382802</v>
      </c>
      <c r="G58" s="14">
        <f t="shared" si="3"/>
        <v>0.39114356857382804</v>
      </c>
      <c r="H58" s="14">
        <v>4577</v>
      </c>
      <c r="I58" s="14">
        <v>2.0195958870879899E-2</v>
      </c>
      <c r="J58" s="14">
        <f t="shared" si="4"/>
        <v>4.0391917741759799E-2</v>
      </c>
      <c r="K58" s="14" t="s">
        <v>13</v>
      </c>
      <c r="L58" s="14">
        <v>3.1913010244232249</v>
      </c>
      <c r="M58" s="14">
        <f t="shared" si="5"/>
        <v>3.1913010244232249</v>
      </c>
      <c r="N58" s="14">
        <v>12.138281604959859</v>
      </c>
      <c r="O58" s="14">
        <v>0.30597126532896918</v>
      </c>
      <c r="P58" s="14">
        <f t="shared" si="6"/>
        <v>0.4794268980684791</v>
      </c>
      <c r="Q58" s="14">
        <f t="shared" si="52"/>
        <v>25.318315793007685</v>
      </c>
      <c r="R58" s="14">
        <f t="shared" si="7"/>
        <v>4.9454249180865533E-6</v>
      </c>
      <c r="S58" s="14">
        <f t="shared" si="8"/>
        <v>4.9454249180865533E-3</v>
      </c>
      <c r="T58" s="14">
        <f t="shared" si="67"/>
        <v>5.0110699342248992</v>
      </c>
      <c r="U58" s="22"/>
      <c r="V58" s="14">
        <f t="shared" si="55"/>
        <v>5.0110699342248992</v>
      </c>
      <c r="W58" s="22"/>
      <c r="X58" s="14">
        <f t="shared" si="10"/>
        <v>4.9454249180865526E-9</v>
      </c>
      <c r="Y58" s="14">
        <f t="shared" si="11"/>
        <v>4.9454249180865526E-9</v>
      </c>
      <c r="Z58" s="14">
        <v>1.3394841491375784</v>
      </c>
      <c r="AA58" s="14">
        <v>13.26335539492891</v>
      </c>
      <c r="AB58" s="12">
        <v>0.25332218559747921</v>
      </c>
      <c r="AC58" s="14"/>
      <c r="AD58" s="4"/>
      <c r="AG58" s="1">
        <f t="shared" si="53"/>
        <v>1</v>
      </c>
      <c r="AI58" s="22"/>
      <c r="AJ58" s="24"/>
      <c r="AK58" s="24"/>
    </row>
    <row r="59" spans="1:37" x14ac:dyDescent="0.3">
      <c r="A59" s="20"/>
      <c r="B59" s="34"/>
      <c r="C59" s="22">
        <v>6</v>
      </c>
      <c r="D59" s="14" t="s">
        <v>107</v>
      </c>
      <c r="E59" s="14" t="s">
        <v>8</v>
      </c>
      <c r="F59" s="14">
        <v>19.2405486217312</v>
      </c>
      <c r="G59" s="14">
        <f t="shared" si="3"/>
        <v>0.19240548621731202</v>
      </c>
      <c r="H59" s="14">
        <v>3058</v>
      </c>
      <c r="I59" s="14">
        <v>1.442032212902552E-2</v>
      </c>
      <c r="J59" s="14">
        <f t="shared" si="4"/>
        <v>2.8840644258051041E-2</v>
      </c>
      <c r="K59" s="14" t="s">
        <v>14</v>
      </c>
      <c r="L59" s="14">
        <v>2.3598970679301421</v>
      </c>
      <c r="M59" s="14">
        <f t="shared" si="5"/>
        <v>2.3598970679301421</v>
      </c>
      <c r="N59" s="14">
        <v>6.9340106125964178</v>
      </c>
      <c r="O59" s="14">
        <v>0.15080697026874429</v>
      </c>
      <c r="P59" s="14">
        <f t="shared" si="6"/>
        <v>0.63459119312870405</v>
      </c>
      <c r="Q59" s="14">
        <f t="shared" si="52"/>
        <v>10.926736279477648</v>
      </c>
      <c r="R59" s="14">
        <f t="shared" si="7"/>
        <v>3.2849486524890298E-6</v>
      </c>
      <c r="S59" s="14">
        <f t="shared" si="8"/>
        <v>3.2849486524890296E-3</v>
      </c>
      <c r="T59" s="14">
        <f t="shared" si="67"/>
        <v>3.3285526927642413</v>
      </c>
      <c r="U59" s="22">
        <f>AVERAGE(T59:T61)</f>
        <v>4.5080232613516058</v>
      </c>
      <c r="V59" s="14"/>
      <c r="W59" s="22"/>
      <c r="X59" s="14">
        <f t="shared" si="10"/>
        <v>3.2849486524890298E-9</v>
      </c>
      <c r="Y59" s="14"/>
      <c r="Z59" s="14">
        <v>1.7767079303219138</v>
      </c>
      <c r="AA59" s="14">
        <v>53.312540003866467</v>
      </c>
      <c r="AB59" s="12">
        <v>2.210352396233882</v>
      </c>
      <c r="AC59" s="14"/>
      <c r="AD59" s="4"/>
      <c r="AG59" s="1">
        <f t="shared" si="53"/>
        <v>0</v>
      </c>
      <c r="AI59" s="22">
        <f t="shared" ref="AI59" si="83">AG59+AG60+AG61</f>
        <v>0</v>
      </c>
      <c r="AJ59" s="24">
        <f t="shared" ref="AJ59" si="84">AI59/3*100</f>
        <v>0</v>
      </c>
      <c r="AK59" s="24">
        <f t="shared" ref="AK59" si="85">IF(AI59=0,0,1)</f>
        <v>0</v>
      </c>
    </row>
    <row r="60" spans="1:37" x14ac:dyDescent="0.3">
      <c r="A60" s="20"/>
      <c r="B60" s="34"/>
      <c r="C60" s="22"/>
      <c r="D60" s="14" t="s">
        <v>108</v>
      </c>
      <c r="E60" s="14" t="s">
        <v>10</v>
      </c>
      <c r="F60" s="14">
        <v>29.416740657352801</v>
      </c>
      <c r="G60" s="14">
        <f t="shared" si="3"/>
        <v>0.29416740657352802</v>
      </c>
      <c r="H60" s="14">
        <v>3106</v>
      </c>
      <c r="I60" s="14">
        <v>1.5330589521406051E-2</v>
      </c>
      <c r="J60" s="14">
        <f t="shared" si="4"/>
        <v>3.0661179042812101E-2</v>
      </c>
      <c r="K60" s="14" t="s">
        <v>14</v>
      </c>
      <c r="L60" s="14">
        <v>3.3113933333965111</v>
      </c>
      <c r="M60" s="14">
        <f t="shared" si="5"/>
        <v>3.3113933333965111</v>
      </c>
      <c r="N60" s="14">
        <v>7.1236683394941451</v>
      </c>
      <c r="O60" s="14">
        <v>0.23088374491344241</v>
      </c>
      <c r="P60" s="14">
        <f t="shared" si="6"/>
        <v>0.55451441848400584</v>
      </c>
      <c r="Q60" s="14">
        <f t="shared" si="52"/>
        <v>12.846678286508103</v>
      </c>
      <c r="R60" s="14">
        <f t="shared" si="7"/>
        <v>5.6468596756495578E-6</v>
      </c>
      <c r="S60" s="14">
        <f t="shared" si="8"/>
        <v>5.6468596756495577E-3</v>
      </c>
      <c r="T60" s="14">
        <f t="shared" si="67"/>
        <v>5.7218154581513403</v>
      </c>
      <c r="U60" s="22"/>
      <c r="V60" s="14"/>
      <c r="W60" s="22"/>
      <c r="X60" s="14">
        <f t="shared" si="10"/>
        <v>5.6468596756495572E-9</v>
      </c>
      <c r="Y60" s="14"/>
      <c r="Z60" s="14">
        <v>1.5528317055382386</v>
      </c>
      <c r="AA60" s="14">
        <v>26.149710850922819</v>
      </c>
      <c r="AB60" s="12">
        <v>0.72902083017365027</v>
      </c>
      <c r="AC60" s="14"/>
      <c r="AD60" s="4"/>
      <c r="AG60" s="1">
        <f t="shared" si="53"/>
        <v>0</v>
      </c>
      <c r="AI60" s="22"/>
      <c r="AJ60" s="24"/>
      <c r="AK60" s="24"/>
    </row>
    <row r="61" spans="1:37" x14ac:dyDescent="0.3">
      <c r="A61" s="20"/>
      <c r="B61" s="34"/>
      <c r="C61" s="22"/>
      <c r="D61" s="14" t="s">
        <v>109</v>
      </c>
      <c r="E61" s="14" t="s">
        <v>9</v>
      </c>
      <c r="F61" s="14">
        <v>21.010538103381901</v>
      </c>
      <c r="G61" s="14">
        <f t="shared" si="3"/>
        <v>0.21010538103381901</v>
      </c>
      <c r="H61" s="14">
        <v>1612</v>
      </c>
      <c r="I61" s="14">
        <v>3.2371004000691907E-2</v>
      </c>
      <c r="J61" s="14">
        <f t="shared" si="4"/>
        <v>6.4742008001383813E-2</v>
      </c>
      <c r="K61" s="14" t="s">
        <v>14</v>
      </c>
      <c r="L61" s="14">
        <v>2.6802710888900219</v>
      </c>
      <c r="M61" s="14">
        <f t="shared" si="5"/>
        <v>2.6802710888900219</v>
      </c>
      <c r="N61" s="14">
        <v>6.0088968204943161</v>
      </c>
      <c r="O61" s="14">
        <v>0.16475504326872531</v>
      </c>
      <c r="P61" s="14">
        <f t="shared" si="6"/>
        <v>0.62064312012872302</v>
      </c>
      <c r="Q61" s="14">
        <f t="shared" si="52"/>
        <v>9.6817263023040603</v>
      </c>
      <c r="R61" s="14">
        <f t="shared" si="7"/>
        <v>4.4150961417451109E-6</v>
      </c>
      <c r="S61" s="14">
        <f t="shared" si="8"/>
        <v>4.4150961417451107E-3</v>
      </c>
      <c r="T61" s="14">
        <f t="shared" si="67"/>
        <v>4.4737016331392345</v>
      </c>
      <c r="U61" s="22"/>
      <c r="V61" s="14"/>
      <c r="W61" s="22"/>
      <c r="X61" s="14">
        <f t="shared" si="10"/>
        <v>4.4150961417451107E-9</v>
      </c>
      <c r="Y61" s="14"/>
      <c r="Z61" s="14">
        <v>1.7377681617255982</v>
      </c>
      <c r="AA61" s="14">
        <v>47.099967542426356</v>
      </c>
      <c r="AB61" s="12">
        <v>1.8225253688787677</v>
      </c>
      <c r="AC61" s="14"/>
      <c r="AD61" s="4"/>
      <c r="AG61" s="1">
        <f t="shared" si="53"/>
        <v>0</v>
      </c>
      <c r="AI61" s="22"/>
      <c r="AJ61" s="24"/>
      <c r="AK61" s="24"/>
    </row>
    <row r="62" spans="1:37" x14ac:dyDescent="0.3">
      <c r="A62" s="20"/>
      <c r="B62" s="34"/>
      <c r="C62" s="22">
        <v>7</v>
      </c>
      <c r="D62" s="14" t="s">
        <v>110</v>
      </c>
      <c r="E62" s="14" t="s">
        <v>8</v>
      </c>
      <c r="F62" s="14">
        <v>15.608555612772401</v>
      </c>
      <c r="G62" s="14">
        <f t="shared" si="3"/>
        <v>0.15608555612772401</v>
      </c>
      <c r="H62" s="14">
        <v>3556</v>
      </c>
      <c r="I62" s="14">
        <v>1.8773030308258089E-2</v>
      </c>
      <c r="J62" s="14">
        <f t="shared" si="4"/>
        <v>3.7546060616516178E-2</v>
      </c>
      <c r="K62" s="14" t="s">
        <v>13</v>
      </c>
      <c r="L62" s="14">
        <v>2.342207753691194</v>
      </c>
      <c r="M62" s="14">
        <f t="shared" si="5"/>
        <v>2.342207753691194</v>
      </c>
      <c r="N62" s="14">
        <v>7.6617644595921792</v>
      </c>
      <c r="O62" s="14">
        <v>0.1221223427666213</v>
      </c>
      <c r="P62" s="14">
        <f t="shared" si="6"/>
        <v>0.66327582063082702</v>
      </c>
      <c r="Q62" s="14">
        <f t="shared" si="52"/>
        <v>11.551400218848991</v>
      </c>
      <c r="R62" s="14">
        <f t="shared" si="7"/>
        <v>1.4588183353733813E-6</v>
      </c>
      <c r="S62" s="14">
        <f t="shared" si="8"/>
        <v>1.4588183353733812E-3</v>
      </c>
      <c r="T62" s="14">
        <f t="shared" si="67"/>
        <v>1.47818252647014</v>
      </c>
      <c r="U62" s="22">
        <f>AVERAGE(T62:T64)</f>
        <v>6.9200545265177356</v>
      </c>
      <c r="V62" s="14">
        <f t="shared" si="55"/>
        <v>1.47818252647014</v>
      </c>
      <c r="W62" s="22">
        <f>AVERAGE(V62:V64)</f>
        <v>9.1844651567615099</v>
      </c>
      <c r="X62" s="14">
        <f t="shared" si="10"/>
        <v>1.4588183353733813E-9</v>
      </c>
      <c r="Y62" s="14">
        <f t="shared" si="11"/>
        <v>1.4588183353733813E-9</v>
      </c>
      <c r="Z62" s="14">
        <v>1.8566117765190073</v>
      </c>
      <c r="AA62" s="14">
        <v>68.745486689865785</v>
      </c>
      <c r="AB62" s="12">
        <v>3.2839244836915609</v>
      </c>
      <c r="AC62" s="14"/>
      <c r="AD62" s="4"/>
      <c r="AG62" s="1">
        <f t="shared" si="53"/>
        <v>1</v>
      </c>
      <c r="AI62" s="22">
        <f t="shared" ref="AI62" si="86">AG62+AG63+AG64</f>
        <v>2</v>
      </c>
      <c r="AJ62" s="24">
        <f t="shared" ref="AJ62" si="87">AI62/3*100</f>
        <v>66.666666666666657</v>
      </c>
      <c r="AK62" s="24">
        <f t="shared" ref="AK62" si="88">IF(AI62=0,0,1)</f>
        <v>1</v>
      </c>
    </row>
    <row r="63" spans="1:37" x14ac:dyDescent="0.3">
      <c r="A63" s="20"/>
      <c r="B63" s="34"/>
      <c r="C63" s="22"/>
      <c r="D63" s="14" t="s">
        <v>111</v>
      </c>
      <c r="E63" s="14" t="s">
        <v>10</v>
      </c>
      <c r="F63" s="14">
        <v>54.930768342940702</v>
      </c>
      <c r="G63" s="14">
        <f t="shared" si="3"/>
        <v>0.54930768342940706</v>
      </c>
      <c r="H63" s="14">
        <v>4348</v>
      </c>
      <c r="I63" s="14">
        <v>1.604941028935496E-2</v>
      </c>
      <c r="J63" s="14">
        <f t="shared" si="4"/>
        <v>3.209882057870992E-2</v>
      </c>
      <c r="K63" s="14" t="s">
        <v>13</v>
      </c>
      <c r="L63" s="14">
        <v>3.754374799166512</v>
      </c>
      <c r="M63" s="14">
        <f t="shared" si="5"/>
        <v>3.754374799166512</v>
      </c>
      <c r="N63" s="14">
        <v>9.4291303680111707</v>
      </c>
      <c r="O63" s="14">
        <v>0.42762156943506913</v>
      </c>
      <c r="P63" s="14">
        <f t="shared" si="6"/>
        <v>0.35777659396237915</v>
      </c>
      <c r="Q63" s="14">
        <f t="shared" si="52"/>
        <v>26.354799411508345</v>
      </c>
      <c r="R63" s="14">
        <f t="shared" si="7"/>
        <v>1.6669478991042491E-5</v>
      </c>
      <c r="S63" s="14">
        <f t="shared" si="8"/>
        <v>1.6669478991042489E-2</v>
      </c>
      <c r="T63" s="14">
        <f t="shared" si="67"/>
        <v>16.890747787052881</v>
      </c>
      <c r="U63" s="22"/>
      <c r="V63" s="14">
        <f t="shared" si="55"/>
        <v>16.890747787052881</v>
      </c>
      <c r="W63" s="22"/>
      <c r="X63" s="14">
        <f t="shared" si="10"/>
        <v>1.666947899104249E-8</v>
      </c>
      <c r="Y63" s="14">
        <f t="shared" si="11"/>
        <v>1.666947899104249E-8</v>
      </c>
      <c r="Z63" s="14">
        <v>0.99152309645530456</v>
      </c>
      <c r="AA63" s="14">
        <v>4.3835381501437363</v>
      </c>
      <c r="AB63" s="12">
        <v>4.518084832833251E-2</v>
      </c>
      <c r="AC63" s="14"/>
      <c r="AD63" s="4"/>
      <c r="AG63" s="1">
        <f t="shared" si="53"/>
        <v>1</v>
      </c>
      <c r="AI63" s="22"/>
      <c r="AJ63" s="24"/>
      <c r="AK63" s="24"/>
    </row>
    <row r="64" spans="1:37" ht="15" thickBot="1" x14ac:dyDescent="0.35">
      <c r="A64" s="21"/>
      <c r="B64" s="40"/>
      <c r="C64" s="16"/>
      <c r="D64" s="9" t="s">
        <v>112</v>
      </c>
      <c r="E64" s="9" t="s">
        <v>9</v>
      </c>
      <c r="F64" s="9">
        <v>25.178972611024498</v>
      </c>
      <c r="G64" s="9">
        <f t="shared" si="3"/>
        <v>0.25178972611024497</v>
      </c>
      <c r="H64" s="9">
        <v>2771</v>
      </c>
      <c r="I64" s="9">
        <v>2.4066276917617081E-2</v>
      </c>
      <c r="J64" s="9">
        <f t="shared" si="4"/>
        <v>4.8132553835234161E-2</v>
      </c>
      <c r="K64" s="9" t="s">
        <v>14</v>
      </c>
      <c r="L64" s="9">
        <v>3.739062216077373</v>
      </c>
      <c r="M64" s="9">
        <f t="shared" si="5"/>
        <v>3.739062216077373</v>
      </c>
      <c r="N64" s="9">
        <v>7.7415140307929029</v>
      </c>
      <c r="O64" s="9">
        <v>0.19657104301077979</v>
      </c>
      <c r="P64" s="9">
        <f t="shared" si="6"/>
        <v>0.58882712038666851</v>
      </c>
      <c r="Q64" s="9">
        <f t="shared" si="52"/>
        <v>13.147346246058161</v>
      </c>
      <c r="R64" s="9">
        <f t="shared" si="7"/>
        <v>2.3599081102451932E-6</v>
      </c>
      <c r="S64" s="9">
        <f t="shared" si="8"/>
        <v>2.3599081102451932E-3</v>
      </c>
      <c r="T64" s="9">
        <f t="shared" si="67"/>
        <v>2.3912332660301887</v>
      </c>
      <c r="U64" s="16"/>
      <c r="V64" s="9"/>
      <c r="W64" s="16"/>
      <c r="X64" s="9">
        <f t="shared" si="10"/>
        <v>2.3599081102451933E-9</v>
      </c>
      <c r="Y64" s="9"/>
      <c r="Z64" s="9">
        <v>1.6460626025574612</v>
      </c>
      <c r="AA64" s="9">
        <v>35.180146245579124</v>
      </c>
      <c r="AB64" s="11">
        <v>1.1570385230522895</v>
      </c>
      <c r="AC64" s="14"/>
      <c r="AD64" s="4"/>
      <c r="AG64" s="1">
        <f t="shared" si="53"/>
        <v>0</v>
      </c>
      <c r="AI64" s="22"/>
      <c r="AJ64" s="24"/>
      <c r="AK64" s="24"/>
    </row>
    <row r="65" spans="1:37" x14ac:dyDescent="0.3">
      <c r="A65" s="19" t="s">
        <v>113</v>
      </c>
      <c r="B65" s="39" t="s">
        <v>114</v>
      </c>
      <c r="C65" s="15">
        <v>1</v>
      </c>
      <c r="D65" s="8" t="s">
        <v>29</v>
      </c>
      <c r="E65" s="8" t="s">
        <v>8</v>
      </c>
      <c r="F65" s="8">
        <v>24.332107047118399</v>
      </c>
      <c r="G65" s="8">
        <f t="shared" si="3"/>
        <v>0.24332107047118398</v>
      </c>
      <c r="H65" s="8">
        <v>2159</v>
      </c>
      <c r="I65" s="8">
        <v>1.6966082556577819E-2</v>
      </c>
      <c r="J65" s="8">
        <f t="shared" si="4"/>
        <v>3.3932165113155638E-2</v>
      </c>
      <c r="K65" s="8" t="s">
        <v>14</v>
      </c>
      <c r="L65" s="8">
        <v>1.598293322409859</v>
      </c>
      <c r="M65" s="8">
        <f t="shared" si="5"/>
        <v>1.598293322409859</v>
      </c>
      <c r="N65" s="8">
        <v>6.247146128469101</v>
      </c>
      <c r="O65" s="8">
        <v>0.19088015792402999</v>
      </c>
      <c r="P65" s="8">
        <f t="shared" si="6"/>
        <v>0.59451800547341827</v>
      </c>
      <c r="Q65" s="8">
        <f t="shared" si="52"/>
        <v>10.507917457427485</v>
      </c>
      <c r="R65" s="8">
        <f t="shared" si="7"/>
        <v>1.7840194881167493E-5</v>
      </c>
      <c r="S65" s="8">
        <f t="shared" si="8"/>
        <v>1.7840194881167493E-2</v>
      </c>
      <c r="T65" s="8">
        <f t="shared" si="9"/>
        <v>18.077003628703512</v>
      </c>
      <c r="U65" s="15">
        <f t="shared" ref="U65:W65" si="89">AVERAGE(T65:T67)</f>
        <v>7.8494198015689287</v>
      </c>
      <c r="V65" s="8"/>
      <c r="W65" s="15">
        <f t="shared" si="89"/>
        <v>0.3882394840438545</v>
      </c>
      <c r="X65" s="8">
        <f t="shared" si="10"/>
        <v>1.7840194881167493E-8</v>
      </c>
      <c r="Y65" s="8"/>
      <c r="Z65" s="8">
        <v>1.6646936449633953</v>
      </c>
      <c r="AA65" s="8">
        <v>37.328700674078732</v>
      </c>
      <c r="AB65" s="10">
        <v>1.2689275434731591</v>
      </c>
      <c r="AC65" s="14"/>
      <c r="AD65" s="4"/>
      <c r="AG65" s="1">
        <f t="shared" si="53"/>
        <v>0</v>
      </c>
      <c r="AI65" s="22">
        <f t="shared" ref="AI65" si="90">AG65+AG66+AG67</f>
        <v>1</v>
      </c>
      <c r="AJ65" s="24">
        <f t="shared" ref="AJ65" si="91">AI65/3*100</f>
        <v>33.333333333333329</v>
      </c>
      <c r="AK65" s="24">
        <f t="shared" ref="AK65" si="92">IF(AI65=0,0,1)</f>
        <v>1</v>
      </c>
    </row>
    <row r="66" spans="1:37" x14ac:dyDescent="0.3">
      <c r="A66" s="20"/>
      <c r="B66" s="34"/>
      <c r="C66" s="22"/>
      <c r="D66" s="14" t="s">
        <v>30</v>
      </c>
      <c r="E66" s="14" t="s">
        <v>10</v>
      </c>
      <c r="F66" s="14">
        <v>29.821086475735299</v>
      </c>
      <c r="G66" s="14">
        <f t="shared" si="3"/>
        <v>0.29821086475735298</v>
      </c>
      <c r="H66" s="14">
        <v>4609</v>
      </c>
      <c r="I66" s="14">
        <v>1.293632088679181E-2</v>
      </c>
      <c r="J66" s="14">
        <f t="shared" si="4"/>
        <v>2.5872641773583619E-2</v>
      </c>
      <c r="K66" s="14" t="s">
        <v>14</v>
      </c>
      <c r="L66" s="14">
        <v>2.5144183689784172</v>
      </c>
      <c r="M66" s="14">
        <f t="shared" si="5"/>
        <v>2.5144183689784172</v>
      </c>
      <c r="N66" s="14">
        <v>10.18692038918531</v>
      </c>
      <c r="O66" s="14">
        <v>0.23257755111569189</v>
      </c>
      <c r="P66" s="14">
        <f t="shared" si="6"/>
        <v>0.55282061228175639</v>
      </c>
      <c r="Q66" s="14">
        <f t="shared" ref="Q66:Q85" si="93">N66/P66</f>
        <v>18.427171785688298</v>
      </c>
      <c r="R66" s="14">
        <f t="shared" si="7"/>
        <v>5.0164287785347547E-6</v>
      </c>
      <c r="S66" s="14">
        <f t="shared" si="8"/>
        <v>5.0164287785347548E-3</v>
      </c>
      <c r="T66" s="14">
        <f t="shared" si="9"/>
        <v>5.0830162919594226</v>
      </c>
      <c r="U66" s="22"/>
      <c r="V66" s="14"/>
      <c r="W66" s="22"/>
      <c r="X66" s="14">
        <f t="shared" si="10"/>
        <v>5.0164287785347543E-9</v>
      </c>
      <c r="Y66" s="14"/>
      <c r="Z66" s="14">
        <v>1.5439360975338237</v>
      </c>
      <c r="AA66" s="14">
        <v>25.419940519192085</v>
      </c>
      <c r="AB66" s="12">
        <v>0.6975879584315694</v>
      </c>
      <c r="AC66" s="14"/>
      <c r="AD66" s="4"/>
      <c r="AG66" s="1">
        <f t="shared" ref="AG66:AG85" si="94">IF(K66="YES",1,0)</f>
        <v>0</v>
      </c>
      <c r="AI66" s="22"/>
      <c r="AJ66" s="24"/>
      <c r="AK66" s="24"/>
    </row>
    <row r="67" spans="1:37" x14ac:dyDescent="0.3">
      <c r="A67" s="20"/>
      <c r="B67" s="34"/>
      <c r="C67" s="22"/>
      <c r="D67" s="14" t="s">
        <v>31</v>
      </c>
      <c r="E67" s="14" t="s">
        <v>9</v>
      </c>
      <c r="F67" s="14">
        <v>11.850899928581301</v>
      </c>
      <c r="G67" s="14">
        <f t="shared" ref="G67:G85" si="95">F67/100</f>
        <v>0.118508999285813</v>
      </c>
      <c r="H67" s="14">
        <v>4046</v>
      </c>
      <c r="I67" s="14">
        <v>1.766726195824293E-2</v>
      </c>
      <c r="J67" s="14">
        <f t="shared" ref="J67:J85" si="96">I67*2</f>
        <v>3.5334523916485859E-2</v>
      </c>
      <c r="K67" s="14" t="s">
        <v>13</v>
      </c>
      <c r="L67" s="14">
        <v>3.2246220543202582</v>
      </c>
      <c r="M67" s="14">
        <f t="shared" ref="M67:M85" si="97">L67/1</f>
        <v>3.2246220543202582</v>
      </c>
      <c r="N67" s="14">
        <v>7.1979583652044674</v>
      </c>
      <c r="O67" s="14">
        <v>9.1252741007138663E-2</v>
      </c>
      <c r="P67" s="14">
        <f t="shared" ref="P67:P85" si="98">PI()/4-O67</f>
        <v>0.69414542239030963</v>
      </c>
      <c r="Q67" s="14">
        <f t="shared" si="93"/>
        <v>10.369525077926887</v>
      </c>
      <c r="R67" s="14">
        <f t="shared" ref="R67:R85" si="99">G67^3/5/(1-G67)^2/Q67^2/M67^2</f>
        <v>3.8315354680288002E-7</v>
      </c>
      <c r="S67" s="14">
        <f t="shared" ref="S67:S85" si="100">R67*1000</f>
        <v>3.8315354680288E-4</v>
      </c>
      <c r="T67" s="14">
        <f>S67/0.9869*1000</f>
        <v>0.3882394840438545</v>
      </c>
      <c r="U67" s="22"/>
      <c r="V67" s="14">
        <f t="shared" ref="V67:V85" si="101">IF(K67="YES",T67,0)</f>
        <v>0.3882394840438545</v>
      </c>
      <c r="W67" s="22"/>
      <c r="X67" s="14">
        <f t="shared" ref="X67:X85" si="102">R67/1000000*1000</f>
        <v>3.8315354680287999E-10</v>
      </c>
      <c r="Y67" s="14">
        <f t="shared" ref="Y67:Y85" si="103">IF(K67="YES",X67,0)</f>
        <v>3.8315354680287999E-10</v>
      </c>
      <c r="Z67" s="14">
        <v>1.9392802015712114</v>
      </c>
      <c r="AA67" s="14">
        <v>89.429176154926807</v>
      </c>
      <c r="AB67" s="12">
        <v>4.9462200849889664</v>
      </c>
      <c r="AC67" s="14"/>
      <c r="AD67" s="4"/>
      <c r="AG67" s="1">
        <f t="shared" si="94"/>
        <v>1</v>
      </c>
      <c r="AI67" s="22"/>
      <c r="AJ67" s="24"/>
      <c r="AK67" s="24"/>
    </row>
    <row r="68" spans="1:37" x14ac:dyDescent="0.3">
      <c r="A68" s="20"/>
      <c r="B68" s="34"/>
      <c r="C68" s="22">
        <v>2</v>
      </c>
      <c r="D68" s="14" t="s">
        <v>32</v>
      </c>
      <c r="E68" s="14" t="s">
        <v>8</v>
      </c>
      <c r="F68" s="14">
        <v>27.182331908680101</v>
      </c>
      <c r="G68" s="14">
        <f t="shared" si="95"/>
        <v>0.27182331908680102</v>
      </c>
      <c r="H68" s="14">
        <v>6606</v>
      </c>
      <c r="I68" s="14">
        <v>1.6318061775506341E-2</v>
      </c>
      <c r="J68" s="14">
        <f t="shared" si="96"/>
        <v>3.2636123551012683E-2</v>
      </c>
      <c r="K68" s="14" t="s">
        <v>14</v>
      </c>
      <c r="L68" s="14">
        <v>1.772973936753484</v>
      </c>
      <c r="M68" s="14">
        <f t="shared" si="97"/>
        <v>1.772973936753484</v>
      </c>
      <c r="N68" s="14">
        <v>12.340566409385509</v>
      </c>
      <c r="O68" s="14">
        <v>0.21171635507385611</v>
      </c>
      <c r="P68" s="14">
        <f t="shared" si="98"/>
        <v>0.57368180832359217</v>
      </c>
      <c r="Q68" s="14">
        <f t="shared" si="93"/>
        <v>21.511169136506179</v>
      </c>
      <c r="R68" s="14">
        <f t="shared" si="99"/>
        <v>5.2081545364559E-6</v>
      </c>
      <c r="S68" s="14">
        <f t="shared" si="100"/>
        <v>5.2081545364559001E-3</v>
      </c>
      <c r="T68" s="14">
        <f t="shared" ref="T68:T85" si="104">S68/0.9869*1000</f>
        <v>5.2772869961048743</v>
      </c>
      <c r="U68" s="22">
        <f t="shared" ref="U68" si="105">AVERAGE(T68:T70)</f>
        <v>3.2731129499374476</v>
      </c>
      <c r="V68" s="14"/>
      <c r="W68" s="22"/>
      <c r="X68" s="14">
        <f t="shared" si="102"/>
        <v>5.2081545364559E-9</v>
      </c>
      <c r="Y68" s="14"/>
      <c r="Z68" s="14">
        <v>1.6019886980090379</v>
      </c>
      <c r="AA68" s="14">
        <v>30.576958818246702</v>
      </c>
      <c r="AB68" s="12">
        <v>0.93006349576441649</v>
      </c>
      <c r="AC68" s="14"/>
      <c r="AD68" s="4"/>
      <c r="AG68" s="1">
        <f t="shared" si="94"/>
        <v>0</v>
      </c>
      <c r="AI68" s="22">
        <f t="shared" ref="AI68" si="106">AG68+AG69+AG70</f>
        <v>0</v>
      </c>
      <c r="AJ68" s="24">
        <f t="shared" ref="AJ68" si="107">AI68/3*100</f>
        <v>0</v>
      </c>
      <c r="AK68" s="24">
        <f t="shared" ref="AK68" si="108">IF(AI68=0,0,1)</f>
        <v>0</v>
      </c>
    </row>
    <row r="69" spans="1:37" x14ac:dyDescent="0.3">
      <c r="A69" s="20"/>
      <c r="B69" s="34"/>
      <c r="C69" s="22"/>
      <c r="D69" s="14" t="s">
        <v>33</v>
      </c>
      <c r="E69" s="14" t="s">
        <v>10</v>
      </c>
      <c r="F69" s="14">
        <v>29.7099615640367</v>
      </c>
      <c r="G69" s="14">
        <f t="shared" si="95"/>
        <v>0.29709961564036702</v>
      </c>
      <c r="H69" s="14">
        <v>6514</v>
      </c>
      <c r="I69" s="14">
        <v>1.5438311484636549E-2</v>
      </c>
      <c r="J69" s="14">
        <f t="shared" si="96"/>
        <v>3.0876622969273099E-2</v>
      </c>
      <c r="K69" s="14" t="s">
        <v>14</v>
      </c>
      <c r="L69" s="14">
        <v>2.6702625724218998</v>
      </c>
      <c r="M69" s="14">
        <f t="shared" si="97"/>
        <v>2.6702625724218998</v>
      </c>
      <c r="N69" s="14">
        <v>12.97465051506064</v>
      </c>
      <c r="O69" s="14">
        <v>0.22871045892360459</v>
      </c>
      <c r="P69" s="14">
        <f t="shared" si="98"/>
        <v>0.55668770447384364</v>
      </c>
      <c r="Q69" s="14">
        <f t="shared" si="93"/>
        <v>23.306874591964807</v>
      </c>
      <c r="R69" s="14">
        <f t="shared" si="99"/>
        <v>2.7407706072486244E-6</v>
      </c>
      <c r="S69" s="14">
        <f t="shared" si="100"/>
        <v>2.7407706072486242E-3</v>
      </c>
      <c r="T69" s="14">
        <f t="shared" si="104"/>
        <v>2.7771512891363099</v>
      </c>
      <c r="U69" s="22"/>
      <c r="V69" s="14"/>
      <c r="W69" s="22"/>
      <c r="X69" s="14">
        <f t="shared" si="102"/>
        <v>2.7407706072486243E-9</v>
      </c>
      <c r="Y69" s="14"/>
      <c r="Z69" s="14">
        <v>1.5463808455911927</v>
      </c>
      <c r="AA69" s="14">
        <v>25.618446788140982</v>
      </c>
      <c r="AB69" s="12">
        <v>0.70608895377044822</v>
      </c>
      <c r="AC69" s="14"/>
      <c r="AD69" s="4"/>
      <c r="AG69" s="1">
        <f t="shared" si="94"/>
        <v>0</v>
      </c>
      <c r="AI69" s="22"/>
      <c r="AJ69" s="24"/>
      <c r="AK69" s="24"/>
    </row>
    <row r="70" spans="1:37" x14ac:dyDescent="0.3">
      <c r="A70" s="20"/>
      <c r="B70" s="34"/>
      <c r="C70" s="22"/>
      <c r="D70" s="14" t="s">
        <v>34</v>
      </c>
      <c r="E70" s="14" t="s">
        <v>9</v>
      </c>
      <c r="F70" s="14">
        <v>24.469463156421401</v>
      </c>
      <c r="G70" s="14">
        <f t="shared" si="95"/>
        <v>0.244694631564214</v>
      </c>
      <c r="H70" s="14">
        <v>6064</v>
      </c>
      <c r="I70" s="14">
        <v>1.5078244367555539E-2</v>
      </c>
      <c r="J70" s="14">
        <f t="shared" si="96"/>
        <v>3.0156488735111078E-2</v>
      </c>
      <c r="K70" s="14" t="s">
        <v>14</v>
      </c>
      <c r="L70" s="14">
        <v>2.7826371958053162</v>
      </c>
      <c r="M70" s="14">
        <f t="shared" si="97"/>
        <v>2.7826371958053162</v>
      </c>
      <c r="N70" s="14">
        <v>11.60700723827817</v>
      </c>
      <c r="O70" s="14">
        <v>0.19063447155695529</v>
      </c>
      <c r="P70" s="14">
        <f t="shared" si="98"/>
        <v>0.59476369184049305</v>
      </c>
      <c r="Q70" s="14">
        <f t="shared" si="93"/>
        <v>19.515325830264366</v>
      </c>
      <c r="R70" s="14">
        <f t="shared" si="99"/>
        <v>1.7417803671752772E-6</v>
      </c>
      <c r="S70" s="14">
        <f t="shared" si="100"/>
        <v>1.7417803671752772E-3</v>
      </c>
      <c r="T70" s="14">
        <f t="shared" si="104"/>
        <v>1.7649005645711593</v>
      </c>
      <c r="U70" s="22"/>
      <c r="V70" s="14"/>
      <c r="W70" s="22"/>
      <c r="X70" s="14">
        <f t="shared" si="102"/>
        <v>1.7417803671752772E-9</v>
      </c>
      <c r="Y70" s="14"/>
      <c r="Z70" s="14">
        <v>1.6616718105587294</v>
      </c>
      <c r="AA70" s="14">
        <v>36.971507861085492</v>
      </c>
      <c r="AB70" s="12">
        <v>1.2500709051759693</v>
      </c>
      <c r="AC70" s="14"/>
      <c r="AD70" s="4"/>
      <c r="AG70" s="1">
        <f t="shared" si="94"/>
        <v>0</v>
      </c>
      <c r="AI70" s="22"/>
      <c r="AJ70" s="24"/>
      <c r="AK70" s="24"/>
    </row>
    <row r="71" spans="1:37" x14ac:dyDescent="0.3">
      <c r="A71" s="20"/>
      <c r="B71" s="34"/>
      <c r="C71" s="22">
        <v>3</v>
      </c>
      <c r="D71" s="14" t="s">
        <v>35</v>
      </c>
      <c r="E71" s="14" t="s">
        <v>8</v>
      </c>
      <c r="F71" s="14">
        <v>16.255790337371199</v>
      </c>
      <c r="G71" s="14">
        <f t="shared" si="95"/>
        <v>0.16255790337371198</v>
      </c>
      <c r="H71" s="14">
        <v>4685</v>
      </c>
      <c r="I71" s="14">
        <v>1.6675015836722071E-2</v>
      </c>
      <c r="J71" s="14">
        <f t="shared" si="96"/>
        <v>3.3350031673444143E-2</v>
      </c>
      <c r="K71" s="14" t="s">
        <v>14</v>
      </c>
      <c r="L71" s="14">
        <v>2.202645248981133</v>
      </c>
      <c r="M71" s="14">
        <f t="shared" si="97"/>
        <v>2.202645248981133</v>
      </c>
      <c r="N71" s="14">
        <v>9.352114472838462</v>
      </c>
      <c r="O71" s="14">
        <v>0.12567778027410559</v>
      </c>
      <c r="P71" s="14">
        <f t="shared" si="98"/>
        <v>0.65972038312334269</v>
      </c>
      <c r="Q71" s="14">
        <f t="shared" si="93"/>
        <v>14.175876192520144</v>
      </c>
      <c r="R71" s="14">
        <f t="shared" si="99"/>
        <v>1.2564804923515861E-6</v>
      </c>
      <c r="S71" s="14">
        <f t="shared" si="100"/>
        <v>1.2564804923515861E-3</v>
      </c>
      <c r="T71" s="14">
        <f t="shared" si="104"/>
        <v>1.2731588735956896</v>
      </c>
      <c r="U71" s="22">
        <f t="shared" ref="U71" si="109">AVERAGE(T71:T73)</f>
        <v>0.88007244560177256</v>
      </c>
      <c r="V71" s="14"/>
      <c r="W71" s="22"/>
      <c r="X71" s="14">
        <f t="shared" si="102"/>
        <v>1.2564804923515861E-9</v>
      </c>
      <c r="Y71" s="14"/>
      <c r="Z71" s="14">
        <v>1.8423726125778337</v>
      </c>
      <c r="AA71" s="14">
        <v>65.70037646417174</v>
      </c>
      <c r="AB71" s="12">
        <v>3.0602316359514981</v>
      </c>
      <c r="AC71" s="14"/>
      <c r="AD71" s="4"/>
      <c r="AG71" s="1">
        <f t="shared" si="94"/>
        <v>0</v>
      </c>
      <c r="AI71" s="22">
        <f t="shared" ref="AI71" si="110">AG71+AG72+AG73</f>
        <v>0</v>
      </c>
      <c r="AJ71" s="24">
        <f t="shared" ref="AJ71" si="111">AI71/3*100</f>
        <v>0</v>
      </c>
      <c r="AK71" s="24">
        <f t="shared" ref="AK71" si="112">IF(AI71=0,0,1)</f>
        <v>0</v>
      </c>
    </row>
    <row r="72" spans="1:37" x14ac:dyDescent="0.3">
      <c r="A72" s="20"/>
      <c r="B72" s="34"/>
      <c r="C72" s="22"/>
      <c r="D72" s="14" t="s">
        <v>36</v>
      </c>
      <c r="E72" s="14" t="s">
        <v>10</v>
      </c>
      <c r="F72" s="14">
        <v>19.957259447562699</v>
      </c>
      <c r="G72" s="14">
        <f t="shared" si="95"/>
        <v>0.19957259447562697</v>
      </c>
      <c r="H72" s="14">
        <v>5552</v>
      </c>
      <c r="I72" s="14">
        <v>1.3884857702876939E-2</v>
      </c>
      <c r="J72" s="14">
        <f t="shared" si="96"/>
        <v>2.7769715405753879E-2</v>
      </c>
      <c r="K72" s="14" t="s">
        <v>14</v>
      </c>
      <c r="L72" s="14">
        <v>2.9339559140510851</v>
      </c>
      <c r="M72" s="14">
        <f t="shared" si="97"/>
        <v>2.9339559140510851</v>
      </c>
      <c r="N72" s="14">
        <v>11.617821825324819</v>
      </c>
      <c r="O72" s="14">
        <v>0.15391166935599521</v>
      </c>
      <c r="P72" s="14">
        <f t="shared" si="98"/>
        <v>0.63148649404145307</v>
      </c>
      <c r="Q72" s="14">
        <f t="shared" si="93"/>
        <v>18.397577675766069</v>
      </c>
      <c r="R72" s="14">
        <f t="shared" si="99"/>
        <v>8.5164842517229395E-7</v>
      </c>
      <c r="S72" s="14">
        <f t="shared" si="100"/>
        <v>8.5164842517229395E-4</v>
      </c>
      <c r="T72" s="14">
        <f t="shared" si="104"/>
        <v>0.86295311092541693</v>
      </c>
      <c r="U72" s="22"/>
      <c r="V72" s="14"/>
      <c r="W72" s="22"/>
      <c r="X72" s="14">
        <f t="shared" si="102"/>
        <v>8.5164842517229403E-10</v>
      </c>
      <c r="Y72" s="14"/>
      <c r="Z72" s="14">
        <v>1.7609402921536206</v>
      </c>
      <c r="AA72" s="14">
        <v>50.703848641710401</v>
      </c>
      <c r="AB72" s="12">
        <v>2.0442489861583097</v>
      </c>
      <c r="AC72" s="14"/>
      <c r="AD72" s="4"/>
      <c r="AG72" s="1">
        <f t="shared" si="94"/>
        <v>0</v>
      </c>
      <c r="AI72" s="22"/>
      <c r="AJ72" s="24"/>
      <c r="AK72" s="24"/>
    </row>
    <row r="73" spans="1:37" x14ac:dyDescent="0.3">
      <c r="A73" s="20"/>
      <c r="B73" s="34"/>
      <c r="C73" s="22"/>
      <c r="D73" s="14" t="s">
        <v>37</v>
      </c>
      <c r="E73" s="14" t="s">
        <v>9</v>
      </c>
      <c r="F73" s="14">
        <v>10.5089135849827</v>
      </c>
      <c r="G73" s="14">
        <f t="shared" si="95"/>
        <v>0.105089135849827</v>
      </c>
      <c r="H73" s="14">
        <v>4319</v>
      </c>
      <c r="I73" s="14">
        <v>1.633140508848107E-2</v>
      </c>
      <c r="J73" s="14">
        <f t="shared" si="96"/>
        <v>3.266281017696214E-2</v>
      </c>
      <c r="K73" s="14" t="s">
        <v>14</v>
      </c>
      <c r="L73" s="14">
        <v>2.437104095782765</v>
      </c>
      <c r="M73" s="14">
        <f t="shared" si="97"/>
        <v>2.437104095782765</v>
      </c>
      <c r="N73" s="14">
        <v>6.9814165522262774</v>
      </c>
      <c r="O73" s="14">
        <v>8.0473166679386379E-2</v>
      </c>
      <c r="P73" s="14">
        <f t="shared" si="98"/>
        <v>0.70492499671806186</v>
      </c>
      <c r="Q73" s="14">
        <f t="shared" si="93"/>
        <v>9.9037721526826896</v>
      </c>
      <c r="R73" s="14">
        <f t="shared" si="99"/>
        <v>4.975015721692881E-7</v>
      </c>
      <c r="S73" s="14">
        <f t="shared" si="100"/>
        <v>4.975015721692881E-4</v>
      </c>
      <c r="T73" s="14">
        <f t="shared" si="104"/>
        <v>0.50410535228421127</v>
      </c>
      <c r="U73" s="22"/>
      <c r="V73" s="14"/>
      <c r="W73" s="22"/>
      <c r="X73" s="14">
        <f t="shared" si="102"/>
        <v>4.9750157216928814E-10</v>
      </c>
      <c r="Y73" s="14"/>
      <c r="Z73" s="14">
        <v>1.9688039011303806</v>
      </c>
      <c r="AA73" s="14">
        <v>98.237304703781433</v>
      </c>
      <c r="AB73" s="12">
        <v>5.7253299280473806</v>
      </c>
      <c r="AC73" s="14"/>
      <c r="AD73" s="4"/>
      <c r="AG73" s="1">
        <f t="shared" si="94"/>
        <v>0</v>
      </c>
      <c r="AI73" s="22"/>
      <c r="AJ73" s="24"/>
      <c r="AK73" s="24"/>
    </row>
    <row r="74" spans="1:37" x14ac:dyDescent="0.3">
      <c r="A74" s="20"/>
      <c r="B74" s="34"/>
      <c r="C74" s="22">
        <v>4</v>
      </c>
      <c r="D74" s="14" t="s">
        <v>38</v>
      </c>
      <c r="E74" s="14" t="s">
        <v>8</v>
      </c>
      <c r="F74" s="14">
        <v>18.534810471802899</v>
      </c>
      <c r="G74" s="14">
        <f t="shared" si="95"/>
        <v>0.18534810471802898</v>
      </c>
      <c r="H74" s="14">
        <v>7096</v>
      </c>
      <c r="I74" s="14">
        <v>1.5546540386012969E-2</v>
      </c>
      <c r="J74" s="14">
        <f t="shared" si="96"/>
        <v>3.1093080772025938E-2</v>
      </c>
      <c r="K74" s="14" t="s">
        <v>13</v>
      </c>
      <c r="L74" s="14">
        <v>3.8787546163773579</v>
      </c>
      <c r="M74" s="14">
        <f t="shared" si="97"/>
        <v>3.8787546163773579</v>
      </c>
      <c r="N74" s="14">
        <v>12.20577137821908</v>
      </c>
      <c r="O74" s="14">
        <v>0.1435105656710903</v>
      </c>
      <c r="P74" s="14">
        <f t="shared" si="98"/>
        <v>0.64188759772635795</v>
      </c>
      <c r="Q74" s="14">
        <f t="shared" si="93"/>
        <v>19.015434199777921</v>
      </c>
      <c r="R74" s="14">
        <f t="shared" si="99"/>
        <v>3.5273876951780765E-7</v>
      </c>
      <c r="S74" s="14">
        <f t="shared" si="100"/>
        <v>3.5273876951780767E-4</v>
      </c>
      <c r="T74" s="14">
        <f t="shared" si="104"/>
        <v>0.35742098441362619</v>
      </c>
      <c r="U74" s="22">
        <f t="shared" ref="U74:W74" si="113">AVERAGE(T74:T76)</f>
        <v>1.9045470012154091</v>
      </c>
      <c r="V74" s="14">
        <f t="shared" si="101"/>
        <v>0.35742098441362619</v>
      </c>
      <c r="W74" s="22">
        <f t="shared" si="113"/>
        <v>1.9045470012154091</v>
      </c>
      <c r="X74" s="14">
        <f t="shared" si="102"/>
        <v>3.5273876951780764E-10</v>
      </c>
      <c r="Y74" s="14">
        <f t="shared" si="103"/>
        <v>3.5273876951780764E-10</v>
      </c>
      <c r="Z74" s="14">
        <v>1.7922341696203363</v>
      </c>
      <c r="AA74" s="14">
        <v>56.01240847564663</v>
      </c>
      <c r="AB74" s="12">
        <v>2.3870956468888558</v>
      </c>
      <c r="AC74" s="14"/>
      <c r="AD74" s="4"/>
      <c r="AG74" s="1">
        <f t="shared" si="94"/>
        <v>1</v>
      </c>
      <c r="AI74" s="22">
        <f t="shared" ref="AI74" si="114">AG74+AG75+AG76</f>
        <v>3</v>
      </c>
      <c r="AJ74" s="24">
        <f t="shared" ref="AJ74" si="115">AI74/3*100</f>
        <v>100</v>
      </c>
      <c r="AK74" s="24">
        <f t="shared" ref="AK74" si="116">IF(AI74=0,0,1)</f>
        <v>1</v>
      </c>
    </row>
    <row r="75" spans="1:37" x14ac:dyDescent="0.3">
      <c r="A75" s="20"/>
      <c r="B75" s="34"/>
      <c r="C75" s="22"/>
      <c r="D75" s="14" t="s">
        <v>39</v>
      </c>
      <c r="E75" s="14" t="s">
        <v>10</v>
      </c>
      <c r="F75" s="14">
        <v>39.248136480456097</v>
      </c>
      <c r="G75" s="14">
        <f t="shared" si="95"/>
        <v>0.39248136480456097</v>
      </c>
      <c r="H75" s="14">
        <v>10122</v>
      </c>
      <c r="I75" s="14">
        <v>1.2112611586774749E-2</v>
      </c>
      <c r="J75" s="14">
        <f t="shared" si="96"/>
        <v>2.4225223173549498E-2</v>
      </c>
      <c r="K75" s="14" t="s">
        <v>13</v>
      </c>
      <c r="L75" s="14">
        <v>3.9211776507408538</v>
      </c>
      <c r="M75" s="14">
        <f t="shared" si="97"/>
        <v>3.9211776507408538</v>
      </c>
      <c r="N75" s="14">
        <v>19.643758186877012</v>
      </c>
      <c r="O75" s="14">
        <v>0.30488136083561679</v>
      </c>
      <c r="P75" s="14">
        <f t="shared" si="98"/>
        <v>0.48051680256183149</v>
      </c>
      <c r="Q75" s="14">
        <f t="shared" si="93"/>
        <v>40.880481352885283</v>
      </c>
      <c r="R75" s="14">
        <f t="shared" si="99"/>
        <v>1.2749785303176838E-6</v>
      </c>
      <c r="S75" s="14">
        <f t="shared" si="100"/>
        <v>1.2749785303176838E-3</v>
      </c>
      <c r="T75" s="14">
        <f t="shared" si="104"/>
        <v>1.2919024524447094</v>
      </c>
      <c r="U75" s="22"/>
      <c r="V75" s="14">
        <f t="shared" si="101"/>
        <v>1.2919024524447094</v>
      </c>
      <c r="W75" s="22"/>
      <c r="X75" s="14">
        <f t="shared" si="102"/>
        <v>1.2749785303176838E-9</v>
      </c>
      <c r="Y75" s="14">
        <f t="shared" si="103"/>
        <v>1.2749785303176838E-9</v>
      </c>
      <c r="Z75" s="14">
        <v>1.336540997429966</v>
      </c>
      <c r="AA75" s="14">
        <v>13.139729482377879</v>
      </c>
      <c r="AB75" s="12">
        <v>0.24965504886329842</v>
      </c>
      <c r="AC75" s="14"/>
      <c r="AD75" s="4"/>
      <c r="AG75" s="1">
        <f t="shared" si="94"/>
        <v>1</v>
      </c>
      <c r="AI75" s="22"/>
      <c r="AJ75" s="24"/>
      <c r="AK75" s="24"/>
    </row>
    <row r="76" spans="1:37" x14ac:dyDescent="0.3">
      <c r="A76" s="20"/>
      <c r="B76" s="34"/>
      <c r="C76" s="22"/>
      <c r="D76" s="14" t="s">
        <v>40</v>
      </c>
      <c r="E76" s="14" t="s">
        <v>9</v>
      </c>
      <c r="F76" s="14">
        <v>40.363750181289802</v>
      </c>
      <c r="G76" s="14">
        <f t="shared" si="95"/>
        <v>0.40363750181289804</v>
      </c>
      <c r="H76" s="14">
        <v>6237</v>
      </c>
      <c r="I76" s="14">
        <v>1.779576127045614E-2</v>
      </c>
      <c r="J76" s="14">
        <f t="shared" si="96"/>
        <v>3.5591522540912281E-2</v>
      </c>
      <c r="K76" s="14" t="s">
        <v>13</v>
      </c>
      <c r="L76" s="14">
        <v>3.4549014095243411</v>
      </c>
      <c r="M76" s="14">
        <f t="shared" si="97"/>
        <v>3.4549014095243411</v>
      </c>
      <c r="N76" s="14">
        <v>13.143216615976041</v>
      </c>
      <c r="O76" s="14">
        <v>0.31249112351763331</v>
      </c>
      <c r="P76" s="14">
        <f t="shared" si="98"/>
        <v>0.47290703987981497</v>
      </c>
      <c r="Q76" s="14">
        <f t="shared" si="93"/>
        <v>27.792389428832081</v>
      </c>
      <c r="R76" s="14">
        <f t="shared" si="99"/>
        <v>4.0110750066629699E-6</v>
      </c>
      <c r="S76" s="14">
        <f t="shared" si="100"/>
        <v>4.0110750066629699E-3</v>
      </c>
      <c r="T76" s="14">
        <f t="shared" si="104"/>
        <v>4.0643175667878912</v>
      </c>
      <c r="U76" s="22"/>
      <c r="V76" s="14">
        <f t="shared" si="101"/>
        <v>4.0643175667878912</v>
      </c>
      <c r="W76" s="22"/>
      <c r="X76" s="14">
        <f t="shared" si="102"/>
        <v>4.0110750066629698E-9</v>
      </c>
      <c r="Y76" s="14">
        <f t="shared" si="103"/>
        <v>4.0110750066629698E-9</v>
      </c>
      <c r="Z76" s="14">
        <v>1.3119974960116245</v>
      </c>
      <c r="AA76" s="14">
        <v>12.152652593953677</v>
      </c>
      <c r="AB76" s="12">
        <v>0.22106975100252088</v>
      </c>
      <c r="AC76" s="14"/>
      <c r="AD76" s="4"/>
      <c r="AG76" s="1">
        <f t="shared" si="94"/>
        <v>1</v>
      </c>
      <c r="AI76" s="22"/>
      <c r="AJ76" s="24"/>
      <c r="AK76" s="24"/>
    </row>
    <row r="77" spans="1:37" x14ac:dyDescent="0.3">
      <c r="A77" s="20"/>
      <c r="B77" s="34"/>
      <c r="C77" s="22">
        <v>5</v>
      </c>
      <c r="D77" s="14" t="s">
        <v>41</v>
      </c>
      <c r="E77" s="14" t="s">
        <v>8</v>
      </c>
      <c r="F77" s="14">
        <v>34.017728267441697</v>
      </c>
      <c r="G77" s="14">
        <f t="shared" si="95"/>
        <v>0.34017728267441699</v>
      </c>
      <c r="H77" s="14">
        <v>5748</v>
      </c>
      <c r="I77" s="14">
        <v>1.7221206973063861E-2</v>
      </c>
      <c r="J77" s="14">
        <f t="shared" si="96"/>
        <v>3.4442413946127723E-2</v>
      </c>
      <c r="K77" s="14" t="s">
        <v>14</v>
      </c>
      <c r="L77" s="14">
        <v>2.7739826552713041</v>
      </c>
      <c r="M77" s="14">
        <f t="shared" si="97"/>
        <v>2.7739826552713041</v>
      </c>
      <c r="N77" s="14">
        <v>13.00698151664063</v>
      </c>
      <c r="O77" s="14">
        <v>0.26416667355084872</v>
      </c>
      <c r="P77" s="14">
        <f t="shared" si="98"/>
        <v>0.52123148984659951</v>
      </c>
      <c r="Q77" s="14">
        <f t="shared" si="93"/>
        <v>24.954327913819323</v>
      </c>
      <c r="R77" s="14">
        <f t="shared" si="99"/>
        <v>3.7739153357669543E-6</v>
      </c>
      <c r="S77" s="14">
        <f t="shared" si="100"/>
        <v>3.7739153357669543E-3</v>
      </c>
      <c r="T77" s="14">
        <f t="shared" si="104"/>
        <v>3.8240098649984335</v>
      </c>
      <c r="U77" s="22">
        <f t="shared" ref="U77:W77" si="117">AVERAGE(T77:T79)</f>
        <v>3.4729649853582347</v>
      </c>
      <c r="V77" s="14"/>
      <c r="W77" s="22">
        <f t="shared" si="117"/>
        <v>3.2974425455381349</v>
      </c>
      <c r="X77" s="14">
        <f t="shared" si="102"/>
        <v>3.7739153357669537E-9</v>
      </c>
      <c r="Y77" s="14"/>
      <c r="Z77" s="14">
        <v>1.4516099781162828</v>
      </c>
      <c r="AA77" s="14">
        <v>18.949338067008664</v>
      </c>
      <c r="AB77" s="12">
        <v>0.44150734471519909</v>
      </c>
      <c r="AC77" s="14"/>
      <c r="AD77" s="4"/>
      <c r="AG77" s="1">
        <f t="shared" si="94"/>
        <v>0</v>
      </c>
      <c r="AI77" s="22">
        <f t="shared" ref="AI77" si="118">AG77+AG78+AG79</f>
        <v>2</v>
      </c>
      <c r="AJ77" s="24">
        <f t="shared" ref="AJ77" si="119">AI77/3*100</f>
        <v>66.666666666666657</v>
      </c>
      <c r="AK77" s="24">
        <f t="shared" ref="AK77" si="120">IF(AI77=0,0,1)</f>
        <v>1</v>
      </c>
    </row>
    <row r="78" spans="1:37" x14ac:dyDescent="0.3">
      <c r="A78" s="20"/>
      <c r="B78" s="34"/>
      <c r="C78" s="22"/>
      <c r="D78" s="14" t="s">
        <v>42</v>
      </c>
      <c r="E78" s="14" t="s">
        <v>10</v>
      </c>
      <c r="F78" s="14">
        <v>45.317426050724698</v>
      </c>
      <c r="G78" s="14">
        <f t="shared" si="95"/>
        <v>0.45317426050724696</v>
      </c>
      <c r="H78" s="14">
        <v>7987</v>
      </c>
      <c r="I78" s="14">
        <v>1.550202766649538E-2</v>
      </c>
      <c r="J78" s="14">
        <f t="shared" si="96"/>
        <v>3.1004055332990759E-2</v>
      </c>
      <c r="K78" s="14" t="s">
        <v>13</v>
      </c>
      <c r="L78" s="14">
        <v>3.0521859953998711</v>
      </c>
      <c r="M78" s="14">
        <f t="shared" si="97"/>
        <v>3.0521859953998711</v>
      </c>
      <c r="N78" s="14">
        <v>16.988421157645121</v>
      </c>
      <c r="O78" s="14">
        <v>0.35351649627710258</v>
      </c>
      <c r="P78" s="14">
        <f t="shared" si="98"/>
        <v>0.4318816671203457</v>
      </c>
      <c r="Q78" s="14">
        <f t="shared" si="93"/>
        <v>39.335823793861628</v>
      </c>
      <c r="R78" s="14">
        <f t="shared" si="99"/>
        <v>4.3184640808876469E-6</v>
      </c>
      <c r="S78" s="14">
        <f t="shared" si="100"/>
        <v>4.3184640808876466E-3</v>
      </c>
      <c r="T78" s="14">
        <f t="shared" si="104"/>
        <v>4.3757868891353198</v>
      </c>
      <c r="U78" s="22"/>
      <c r="V78" s="14">
        <f t="shared" si="101"/>
        <v>4.3757868891353198</v>
      </c>
      <c r="W78" s="22"/>
      <c r="X78" s="14">
        <f t="shared" si="102"/>
        <v>4.3184640808876471E-9</v>
      </c>
      <c r="Y78" s="14">
        <f t="shared" si="103"/>
        <v>4.3184640808876471E-9</v>
      </c>
      <c r="Z78" s="14">
        <v>1.2030166268840568</v>
      </c>
      <c r="AA78" s="14">
        <v>8.5916444516762311</v>
      </c>
      <c r="AB78" s="12">
        <v>0.12883436632184553</v>
      </c>
      <c r="AC78" s="14"/>
      <c r="AD78" s="4"/>
      <c r="AG78" s="1">
        <f t="shared" si="94"/>
        <v>1</v>
      </c>
      <c r="AI78" s="22"/>
      <c r="AJ78" s="24"/>
      <c r="AK78" s="24"/>
    </row>
    <row r="79" spans="1:37" x14ac:dyDescent="0.3">
      <c r="A79" s="20"/>
      <c r="B79" s="34"/>
      <c r="C79" s="22"/>
      <c r="D79" s="14" t="s">
        <v>43</v>
      </c>
      <c r="E79" s="14" t="s">
        <v>9</v>
      </c>
      <c r="F79" s="14">
        <v>28.455998950200499</v>
      </c>
      <c r="G79" s="14">
        <f t="shared" si="95"/>
        <v>0.28455998950200501</v>
      </c>
      <c r="H79" s="14">
        <v>6394</v>
      </c>
      <c r="I79" s="14">
        <v>1.7265532110564211E-2</v>
      </c>
      <c r="J79" s="14">
        <f t="shared" si="96"/>
        <v>3.4531064221128421E-2</v>
      </c>
      <c r="K79" s="14" t="s">
        <v>13</v>
      </c>
      <c r="L79" s="14">
        <v>2.9785394723435981</v>
      </c>
      <c r="M79" s="14">
        <f t="shared" si="97"/>
        <v>2.9785394723435981</v>
      </c>
      <c r="N79" s="14">
        <v>12.166763350704009</v>
      </c>
      <c r="O79" s="14">
        <v>0.22020001807764861</v>
      </c>
      <c r="P79" s="14">
        <f t="shared" si="98"/>
        <v>0.56519814531979962</v>
      </c>
      <c r="Q79" s="14">
        <f t="shared" si="93"/>
        <v>21.526545073533157</v>
      </c>
      <c r="R79" s="14">
        <f t="shared" si="99"/>
        <v>2.1900280154955243E-6</v>
      </c>
      <c r="S79" s="14">
        <f t="shared" si="100"/>
        <v>2.1900280154955242E-3</v>
      </c>
      <c r="T79" s="14">
        <f t="shared" si="104"/>
        <v>2.2190982019409504</v>
      </c>
      <c r="U79" s="22"/>
      <c r="V79" s="14">
        <f t="shared" si="101"/>
        <v>2.2190982019409504</v>
      </c>
      <c r="W79" s="22"/>
      <c r="X79" s="14">
        <f t="shared" si="102"/>
        <v>2.1900280154955247E-9</v>
      </c>
      <c r="Y79" s="14">
        <f t="shared" si="103"/>
        <v>2.1900280154955247E-9</v>
      </c>
      <c r="Z79" s="14">
        <v>1.573968023095589</v>
      </c>
      <c r="AA79" s="14">
        <v>27.968812570337917</v>
      </c>
      <c r="AB79" s="12">
        <v>0.80950516316026477</v>
      </c>
      <c r="AC79" s="14"/>
      <c r="AD79" s="4"/>
      <c r="AG79" s="1">
        <f t="shared" si="94"/>
        <v>1</v>
      </c>
      <c r="AI79" s="22"/>
      <c r="AJ79" s="24"/>
      <c r="AK79" s="24"/>
    </row>
    <row r="80" spans="1:37" x14ac:dyDescent="0.3">
      <c r="A80" s="20"/>
      <c r="B80" s="34"/>
      <c r="C80" s="22">
        <v>6</v>
      </c>
      <c r="D80" s="14" t="s">
        <v>44</v>
      </c>
      <c r="E80" s="14" t="s">
        <v>8</v>
      </c>
      <c r="F80" s="14">
        <v>21.0146493812993</v>
      </c>
      <c r="G80" s="14">
        <f t="shared" si="95"/>
        <v>0.210146493812993</v>
      </c>
      <c r="H80" s="14">
        <v>4263</v>
      </c>
      <c r="I80" s="14">
        <v>1.7801454433860629E-2</v>
      </c>
      <c r="J80" s="14">
        <f t="shared" si="96"/>
        <v>3.5602908867721259E-2</v>
      </c>
      <c r="K80" s="14" t="s">
        <v>14</v>
      </c>
      <c r="L80" s="14">
        <v>1.7112324292804111</v>
      </c>
      <c r="M80" s="14">
        <f t="shared" si="97"/>
        <v>1.7112324292804111</v>
      </c>
      <c r="N80" s="14">
        <v>9.6066052660298666</v>
      </c>
      <c r="O80" s="14">
        <v>0.1637857907534136</v>
      </c>
      <c r="P80" s="14">
        <f t="shared" si="98"/>
        <v>0.62161237264403468</v>
      </c>
      <c r="Q80" s="14">
        <f t="shared" si="93"/>
        <v>15.454334065404895</v>
      </c>
      <c r="R80" s="14">
        <f t="shared" si="99"/>
        <v>4.2538752034242974E-6</v>
      </c>
      <c r="S80" s="14">
        <f t="shared" si="100"/>
        <v>4.2538752034242972E-3</v>
      </c>
      <c r="T80" s="14">
        <f t="shared" si="104"/>
        <v>4.3103406661508732</v>
      </c>
      <c r="U80" s="22">
        <f t="shared" ref="U80:W80" si="121">AVERAGE(T80:T82)</f>
        <v>2.5825439206047736</v>
      </c>
      <c r="V80" s="14"/>
      <c r="W80" s="22">
        <f t="shared" si="121"/>
        <v>0.66133213648472289</v>
      </c>
      <c r="X80" s="14">
        <f t="shared" si="102"/>
        <v>4.2538752034242973E-9</v>
      </c>
      <c r="Y80" s="14"/>
      <c r="Z80" s="14">
        <v>1.7376777136114157</v>
      </c>
      <c r="AA80" s="14">
        <v>47.086414618761438</v>
      </c>
      <c r="AB80" s="12">
        <v>1.8217088248460593</v>
      </c>
      <c r="AC80" s="14"/>
      <c r="AD80" s="4"/>
      <c r="AG80" s="1">
        <f t="shared" si="94"/>
        <v>0</v>
      </c>
      <c r="AI80" s="22">
        <f t="shared" ref="AI80" si="122">AG80+AG81+AG82</f>
        <v>1</v>
      </c>
      <c r="AJ80" s="24">
        <f t="shared" ref="AJ80" si="123">AI80/3*100</f>
        <v>33.333333333333329</v>
      </c>
      <c r="AK80" s="24">
        <f t="shared" ref="AK80" si="124">IF(AI80=0,0,1)</f>
        <v>1</v>
      </c>
    </row>
    <row r="81" spans="1:37" x14ac:dyDescent="0.3">
      <c r="A81" s="20"/>
      <c r="B81" s="34"/>
      <c r="C81" s="22"/>
      <c r="D81" s="14" t="s">
        <v>45</v>
      </c>
      <c r="E81" s="14" t="s">
        <v>10</v>
      </c>
      <c r="F81" s="14">
        <v>19.1442568956119</v>
      </c>
      <c r="G81" s="14">
        <f t="shared" si="95"/>
        <v>0.191442568956119</v>
      </c>
      <c r="H81" s="14">
        <v>3597</v>
      </c>
      <c r="I81" s="14">
        <v>2.0382103696553619E-2</v>
      </c>
      <c r="J81" s="14">
        <f t="shared" si="96"/>
        <v>4.0764207393107238E-2</v>
      </c>
      <c r="K81" s="14" t="s">
        <v>14</v>
      </c>
      <c r="L81" s="14">
        <v>2.2280413056738539</v>
      </c>
      <c r="M81" s="14">
        <f t="shared" si="97"/>
        <v>2.2280413056738539</v>
      </c>
      <c r="N81" s="14">
        <v>7.9995168266702992</v>
      </c>
      <c r="O81" s="14">
        <v>0.14864927695257099</v>
      </c>
      <c r="P81" s="14">
        <f t="shared" si="98"/>
        <v>0.63674888644487726</v>
      </c>
      <c r="Q81" s="14">
        <f t="shared" si="93"/>
        <v>12.563063708416568</v>
      </c>
      <c r="R81" s="14">
        <f t="shared" si="99"/>
        <v>2.739593896813484E-6</v>
      </c>
      <c r="S81" s="14">
        <f t="shared" si="100"/>
        <v>2.739593896813484E-3</v>
      </c>
      <c r="T81" s="14">
        <f t="shared" si="104"/>
        <v>2.7759589591787255</v>
      </c>
      <c r="U81" s="22"/>
      <c r="V81" s="14"/>
      <c r="W81" s="22"/>
      <c r="X81" s="14">
        <f t="shared" si="102"/>
        <v>2.739593896813484E-9</v>
      </c>
      <c r="Y81" s="14"/>
      <c r="Z81" s="14">
        <v>1.7788263482965383</v>
      </c>
      <c r="AA81" s="14">
        <v>53.673102766169478</v>
      </c>
      <c r="AB81" s="12">
        <v>2.2336739840624165</v>
      </c>
      <c r="AC81" s="14"/>
      <c r="AD81" s="4"/>
      <c r="AG81" s="1">
        <f t="shared" si="94"/>
        <v>0</v>
      </c>
      <c r="AI81" s="22"/>
      <c r="AJ81" s="24"/>
      <c r="AK81" s="24"/>
    </row>
    <row r="82" spans="1:37" x14ac:dyDescent="0.3">
      <c r="A82" s="20"/>
      <c r="B82" s="34"/>
      <c r="C82" s="22"/>
      <c r="D82" s="14" t="s">
        <v>46</v>
      </c>
      <c r="E82" s="14" t="s">
        <v>9</v>
      </c>
      <c r="F82" s="14">
        <v>17.487594172401</v>
      </c>
      <c r="G82" s="14">
        <f t="shared" si="95"/>
        <v>0.17487594172401</v>
      </c>
      <c r="H82" s="14">
        <v>4724</v>
      </c>
      <c r="I82" s="14">
        <v>1.877933363489756E-2</v>
      </c>
      <c r="J82" s="14">
        <f t="shared" si="96"/>
        <v>3.7558667269795121E-2</v>
      </c>
      <c r="K82" s="14" t="s">
        <v>13</v>
      </c>
      <c r="L82" s="14">
        <v>3.42691659514254</v>
      </c>
      <c r="M82" s="14">
        <f t="shared" si="97"/>
        <v>3.42691659514254</v>
      </c>
      <c r="N82" s="14">
        <v>9.2939410668907527</v>
      </c>
      <c r="O82" s="14">
        <v>0.13622734387868549</v>
      </c>
      <c r="P82" s="14">
        <f t="shared" si="98"/>
        <v>0.64917081951876277</v>
      </c>
      <c r="Q82" s="14">
        <f t="shared" si="93"/>
        <v>14.316634062172495</v>
      </c>
      <c r="R82" s="14">
        <f t="shared" si="99"/>
        <v>6.5266868549677299E-7</v>
      </c>
      <c r="S82" s="14">
        <f t="shared" si="100"/>
        <v>6.5266868549677297E-4</v>
      </c>
      <c r="T82" s="14">
        <f t="shared" si="104"/>
        <v>0.66133213648472289</v>
      </c>
      <c r="U82" s="22"/>
      <c r="V82" s="14">
        <f t="shared" si="101"/>
        <v>0.66133213648472289</v>
      </c>
      <c r="W82" s="22"/>
      <c r="X82" s="14">
        <f t="shared" si="102"/>
        <v>6.5266868549677295E-10</v>
      </c>
      <c r="Y82" s="14">
        <f t="shared" si="103"/>
        <v>6.5266868549677295E-10</v>
      </c>
      <c r="Z82" s="14">
        <v>1.8152729282071782</v>
      </c>
      <c r="AA82" s="14">
        <v>60.27264709093761</v>
      </c>
      <c r="AB82" s="12">
        <v>2.675734689996605</v>
      </c>
      <c r="AC82" s="14"/>
      <c r="AD82" s="4"/>
      <c r="AG82" s="1">
        <f t="shared" si="94"/>
        <v>1</v>
      </c>
      <c r="AI82" s="22"/>
      <c r="AJ82" s="24"/>
      <c r="AK82" s="24"/>
    </row>
    <row r="83" spans="1:37" x14ac:dyDescent="0.3">
      <c r="A83" s="20"/>
      <c r="B83" s="34"/>
      <c r="C83" s="22">
        <v>7</v>
      </c>
      <c r="D83" s="14" t="s">
        <v>47</v>
      </c>
      <c r="E83" s="14" t="s">
        <v>8</v>
      </c>
      <c r="F83" s="14">
        <v>22.640348760087299</v>
      </c>
      <c r="G83" s="14">
        <f t="shared" si="95"/>
        <v>0.226403487600873</v>
      </c>
      <c r="H83" s="14">
        <v>4288</v>
      </c>
      <c r="I83" s="14">
        <v>1.9822518052844729E-2</v>
      </c>
      <c r="J83" s="14">
        <f t="shared" si="96"/>
        <v>3.9645036105689459E-2</v>
      </c>
      <c r="K83" s="14" t="s">
        <v>14</v>
      </c>
      <c r="L83" s="14">
        <v>1.9636868108275609</v>
      </c>
      <c r="M83" s="14">
        <f t="shared" si="97"/>
        <v>1.9636868108275609</v>
      </c>
      <c r="N83" s="14">
        <v>9.6340236188699091</v>
      </c>
      <c r="O83" s="14">
        <v>0.1768086196456195</v>
      </c>
      <c r="P83" s="14">
        <f t="shared" si="98"/>
        <v>0.60858954375182872</v>
      </c>
      <c r="Q83" s="14">
        <f t="shared" si="93"/>
        <v>15.830084032463235</v>
      </c>
      <c r="R83" s="14">
        <f t="shared" si="99"/>
        <v>4.0136494636403505E-6</v>
      </c>
      <c r="S83" s="14">
        <f t="shared" si="100"/>
        <v>4.0136494636403503E-3</v>
      </c>
      <c r="T83" s="14">
        <f t="shared" si="104"/>
        <v>4.0669261968186756</v>
      </c>
      <c r="U83" s="22">
        <f t="shared" ref="U83:W83" si="125">AVERAGE(T83:T85)</f>
        <v>1.9270587409613051</v>
      </c>
      <c r="V83" s="14"/>
      <c r="W83" s="22">
        <f t="shared" si="125"/>
        <v>0.85712501303261956</v>
      </c>
      <c r="X83" s="14">
        <f t="shared" si="102"/>
        <v>4.0136494636403509E-9</v>
      </c>
      <c r="Y83" s="14"/>
      <c r="Z83" s="14">
        <v>1.7019123272780794</v>
      </c>
      <c r="AA83" s="14">
        <v>42.021675392458064</v>
      </c>
      <c r="AB83" s="12">
        <v>1.5258837387703861</v>
      </c>
      <c r="AC83" s="14"/>
      <c r="AD83" s="4"/>
      <c r="AG83" s="1">
        <f t="shared" si="94"/>
        <v>0</v>
      </c>
      <c r="AI83" s="22">
        <f t="shared" ref="AI83" si="126">AG83+AG84+AG85</f>
        <v>2</v>
      </c>
      <c r="AJ83" s="24">
        <f t="shared" ref="AJ83" si="127">AI83/3*100</f>
        <v>66.666666666666657</v>
      </c>
      <c r="AK83" s="24">
        <f t="shared" ref="AK83" si="128">IF(AI83=0,0,1)</f>
        <v>1</v>
      </c>
    </row>
    <row r="84" spans="1:37" x14ac:dyDescent="0.3">
      <c r="A84" s="20"/>
      <c r="B84" s="34"/>
      <c r="C84" s="22"/>
      <c r="D84" s="14" t="s">
        <v>48</v>
      </c>
      <c r="E84" s="14" t="s">
        <v>10</v>
      </c>
      <c r="F84" s="14">
        <v>19.532572168910299</v>
      </c>
      <c r="G84" s="14">
        <f t="shared" si="95"/>
        <v>0.195325721689103</v>
      </c>
      <c r="H84" s="14">
        <v>4923</v>
      </c>
      <c r="I84" s="14">
        <v>2.0839353450730739E-2</v>
      </c>
      <c r="J84" s="14">
        <f t="shared" si="96"/>
        <v>4.1678706901461478E-2</v>
      </c>
      <c r="K84" s="14" t="s">
        <v>13</v>
      </c>
      <c r="L84" s="14">
        <v>4.3112094260311302</v>
      </c>
      <c r="M84" s="14">
        <f t="shared" si="97"/>
        <v>4.3112094260311302</v>
      </c>
      <c r="N84" s="14">
        <v>10.273212697448169</v>
      </c>
      <c r="O84" s="14">
        <v>0.1521401032225593</v>
      </c>
      <c r="P84" s="14">
        <f t="shared" si="98"/>
        <v>0.63325806017488895</v>
      </c>
      <c r="Q84" s="14">
        <f t="shared" si="93"/>
        <v>16.222790270700987</v>
      </c>
      <c r="R84" s="14">
        <f t="shared" si="99"/>
        <v>4.7056402574018889E-7</v>
      </c>
      <c r="S84" s="14">
        <f t="shared" si="100"/>
        <v>4.7056402574018887E-4</v>
      </c>
      <c r="T84" s="14">
        <f t="shared" si="104"/>
        <v>0.47681023988265159</v>
      </c>
      <c r="U84" s="22"/>
      <c r="V84" s="14">
        <f t="shared" si="101"/>
        <v>0.47681023988265159</v>
      </c>
      <c r="W84" s="22"/>
      <c r="X84" s="14">
        <f t="shared" si="102"/>
        <v>4.7056402574018884E-10</v>
      </c>
      <c r="Y84" s="14">
        <f t="shared" si="103"/>
        <v>4.7056402574018884E-10</v>
      </c>
      <c r="Z84" s="14">
        <v>1.7702834122839735</v>
      </c>
      <c r="AA84" s="14">
        <v>52.233806915307817</v>
      </c>
      <c r="AB84" s="12">
        <v>2.1411035881053779</v>
      </c>
      <c r="AC84" s="14"/>
      <c r="AD84" s="4"/>
      <c r="AG84" s="1">
        <f t="shared" si="94"/>
        <v>1</v>
      </c>
      <c r="AI84" s="22"/>
      <c r="AJ84" s="24"/>
      <c r="AK84" s="24"/>
    </row>
    <row r="85" spans="1:37" ht="15" thickBot="1" x14ac:dyDescent="0.35">
      <c r="A85" s="21"/>
      <c r="B85" s="40"/>
      <c r="C85" s="16"/>
      <c r="D85" s="9" t="s">
        <v>49</v>
      </c>
      <c r="E85" s="9" t="s">
        <v>9</v>
      </c>
      <c r="F85" s="9">
        <v>34.989956068010301</v>
      </c>
      <c r="G85" s="9">
        <f t="shared" si="95"/>
        <v>0.34989956068010303</v>
      </c>
      <c r="H85" s="9">
        <v>5775</v>
      </c>
      <c r="I85" s="9">
        <v>1.4906005099615991E-2</v>
      </c>
      <c r="J85" s="9">
        <f t="shared" si="96"/>
        <v>2.9812010199231982E-2</v>
      </c>
      <c r="K85" s="9" t="s">
        <v>13</v>
      </c>
      <c r="L85" s="9">
        <v>4.437164852564214</v>
      </c>
      <c r="M85" s="9">
        <f t="shared" si="97"/>
        <v>4.437164852564214</v>
      </c>
      <c r="N85" s="9">
        <v>14.85523289137647</v>
      </c>
      <c r="O85" s="9">
        <v>0.27379407422032148</v>
      </c>
      <c r="P85" s="9">
        <f t="shared" si="98"/>
        <v>0.51160408917712674</v>
      </c>
      <c r="Q85" s="9">
        <f t="shared" si="93"/>
        <v>29.036579663133452</v>
      </c>
      <c r="R85" s="9">
        <f t="shared" si="99"/>
        <v>1.2212293249835955E-6</v>
      </c>
      <c r="S85" s="9">
        <f t="shared" si="100"/>
        <v>1.2212293249835955E-3</v>
      </c>
      <c r="T85" s="9">
        <f t="shared" si="104"/>
        <v>1.2374397861825874</v>
      </c>
      <c r="U85" s="16"/>
      <c r="V85" s="9">
        <f t="shared" si="101"/>
        <v>1.2374397861825874</v>
      </c>
      <c r="W85" s="16"/>
      <c r="X85" s="9">
        <f t="shared" si="102"/>
        <v>1.2212293249835955E-9</v>
      </c>
      <c r="Y85" s="9">
        <f t="shared" si="103"/>
        <v>1.2212293249835955E-9</v>
      </c>
      <c r="Z85" s="9">
        <v>1.4302209665037735</v>
      </c>
      <c r="AA85" s="9">
        <v>17.702627136871065</v>
      </c>
      <c r="AB85" s="11">
        <v>0.39711337746326225</v>
      </c>
      <c r="AC85" s="14"/>
      <c r="AD85" s="4"/>
      <c r="AG85" s="1">
        <f t="shared" si="94"/>
        <v>1</v>
      </c>
      <c r="AI85" s="22"/>
      <c r="AJ85" s="24"/>
      <c r="AK85" s="24"/>
    </row>
    <row r="86" spans="1:37" x14ac:dyDescent="0.3">
      <c r="A86" s="35" t="s">
        <v>11</v>
      </c>
      <c r="B86" s="22"/>
      <c r="C86" s="22"/>
      <c r="D86" s="22"/>
      <c r="E86" s="22"/>
      <c r="F86" s="22">
        <f>AVERAGE(F2:F85)</f>
        <v>33.729503340410758</v>
      </c>
      <c r="G86" s="22">
        <f>AVERAGE(G2:G85)</f>
        <v>0.33729503340410749</v>
      </c>
      <c r="H86" s="22">
        <f>AVERAGE(H2:H85)</f>
        <v>4809.0714285714284</v>
      </c>
      <c r="I86" s="22">
        <f>AVERAGE(I2:I85)</f>
        <v>2.0656537128095641E-2</v>
      </c>
      <c r="J86" s="22">
        <f>AVERAGE(J2:J85)</f>
        <v>4.1313074256191282E-2</v>
      </c>
      <c r="K86" s="22" t="s">
        <v>122</v>
      </c>
      <c r="L86" s="22">
        <f t="shared" ref="L86:Y86" si="129">AVERAGE(L2:L85)</f>
        <v>2.4491829374247396</v>
      </c>
      <c r="M86" s="22">
        <f t="shared" si="129"/>
        <v>2.4491829374247396</v>
      </c>
      <c r="N86" s="22">
        <f t="shared" si="129"/>
        <v>10.353604746324587</v>
      </c>
      <c r="O86" s="22">
        <f t="shared" si="129"/>
        <v>0.2677438110020508</v>
      </c>
      <c r="P86" s="22">
        <f t="shared" si="129"/>
        <v>0.51765435239539737</v>
      </c>
      <c r="Q86" s="22">
        <f t="shared" si="129"/>
        <v>22.667162815136905</v>
      </c>
      <c r="R86" s="22">
        <f t="shared" si="129"/>
        <v>1.7435434583239869E-5</v>
      </c>
      <c r="S86" s="22">
        <f t="shared" si="129"/>
        <v>1.7435434583239866E-2</v>
      </c>
      <c r="T86" s="22">
        <f t="shared" si="129"/>
        <v>17.666870587941915</v>
      </c>
      <c r="U86" s="22">
        <f t="shared" si="129"/>
        <v>17.666870587941901</v>
      </c>
      <c r="V86" s="22">
        <f t="shared" si="129"/>
        <v>7.9419647521841652</v>
      </c>
      <c r="W86" s="22">
        <f t="shared" si="129"/>
        <v>8.7198644242143271</v>
      </c>
      <c r="X86" s="22">
        <f>AVERAGE(X2:X85)</f>
        <v>1.7435434583239865E-8</v>
      </c>
      <c r="Y86" s="22">
        <f t="shared" si="129"/>
        <v>7.8379250139305517E-9</v>
      </c>
      <c r="Z86" s="22">
        <f t="shared" ref="Z86:AB86" si="130">AVERAGE(Z2:Z85)</f>
        <v>1.4579509265109631</v>
      </c>
      <c r="AA86" s="22">
        <f t="shared" si="130"/>
        <v>28.851245900242777</v>
      </c>
      <c r="AB86" s="17">
        <f t="shared" si="130"/>
        <v>1.1029240828296272</v>
      </c>
      <c r="AC86" s="14"/>
      <c r="AD86" s="4"/>
      <c r="AF86" s="1" t="s">
        <v>18</v>
      </c>
      <c r="AG86" s="1">
        <f>SUM(AG2:AG85)</f>
        <v>40</v>
      </c>
    </row>
    <row r="87" spans="1:37" x14ac:dyDescent="0.3">
      <c r="A87" s="35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17"/>
      <c r="AC87" s="14"/>
      <c r="AD87" s="4"/>
      <c r="AG87" s="1" t="s">
        <v>17</v>
      </c>
      <c r="AH87" s="1">
        <f>AG86/84*100</f>
        <v>47.619047619047613</v>
      </c>
      <c r="AK87" s="1">
        <f>SUM(AK2:AK85)</f>
        <v>19</v>
      </c>
    </row>
    <row r="88" spans="1:37" x14ac:dyDescent="0.3">
      <c r="A88" s="35" t="s">
        <v>12</v>
      </c>
      <c r="B88" s="22"/>
      <c r="C88" s="22"/>
      <c r="D88" s="22"/>
      <c r="E88" s="22"/>
      <c r="F88" s="22">
        <f>_xlfn.STDEV.P(F2:F85)</f>
        <v>13.996558338102796</v>
      </c>
      <c r="G88" s="22">
        <f>_xlfn.STDEV.P(G2:G85)</f>
        <v>0.13996558338102813</v>
      </c>
      <c r="H88" s="22">
        <f>_xlfn.STDEV.P(H2:H85)</f>
        <v>3786.9330214810607</v>
      </c>
      <c r="I88" s="22">
        <f>_xlfn.STDEV.P(I2:I85)</f>
        <v>1.0098216974507426E-2</v>
      </c>
      <c r="J88" s="22">
        <f>_xlfn.STDEV.P(J2:J85)</f>
        <v>2.0196433949014853E-2</v>
      </c>
      <c r="K88" s="22" t="s">
        <v>122</v>
      </c>
      <c r="L88" s="22">
        <f t="shared" ref="L88:U88" si="131">_xlfn.STDEV.P(L2:L85)</f>
        <v>0.90119822480296674</v>
      </c>
      <c r="M88" s="22">
        <f t="shared" si="131"/>
        <v>0.90119822480296674</v>
      </c>
      <c r="N88" s="22">
        <f t="shared" si="131"/>
        <v>3.8102130360334439</v>
      </c>
      <c r="O88" s="22">
        <f t="shared" si="131"/>
        <v>0.11381135446413759</v>
      </c>
      <c r="P88" s="22">
        <f t="shared" si="131"/>
        <v>0.11381135446413891</v>
      </c>
      <c r="Q88" s="22">
        <f t="shared" si="131"/>
        <v>15.079383343644803</v>
      </c>
      <c r="R88" s="22">
        <f t="shared" si="131"/>
        <v>2.7542965241696923E-5</v>
      </c>
      <c r="S88" s="22">
        <f t="shared" si="131"/>
        <v>2.7542965241696905E-2</v>
      </c>
      <c r="T88" s="22">
        <f t="shared" si="131"/>
        <v>27.908567475627638</v>
      </c>
      <c r="U88" s="22">
        <f t="shared" si="131"/>
        <v>23.059563498320227</v>
      </c>
      <c r="V88" s="22">
        <f t="shared" ref="V88" si="132">_xlfn.STDEV.P(V2:V85)</f>
        <v>7.3518397336505306</v>
      </c>
      <c r="W88" s="22">
        <f t="shared" ref="W88:X88" si="133">_xlfn.STDEV.P(W2:W85)</f>
        <v>7.906156082765281</v>
      </c>
      <c r="X88" s="22">
        <f t="shared" si="133"/>
        <v>2.754296524169692E-8</v>
      </c>
      <c r="Y88" s="22">
        <f t="shared" ref="Y88:AB88" si="134">_xlfn.STDEV.P(Y2:Y85)</f>
        <v>7.2555306331397065E-9</v>
      </c>
      <c r="Z88" s="22">
        <f t="shared" si="134"/>
        <v>0.30792428343826239</v>
      </c>
      <c r="AA88" s="22">
        <f t="shared" si="134"/>
        <v>24.967756362274773</v>
      </c>
      <c r="AB88" s="17">
        <f t="shared" si="134"/>
        <v>1.4769326540774113</v>
      </c>
      <c r="AC88" s="14"/>
      <c r="AD88" s="4"/>
      <c r="AK88" s="1">
        <f>AK87/28*100</f>
        <v>67.857142857142861</v>
      </c>
    </row>
    <row r="89" spans="1:37" ht="15" thickBot="1" x14ac:dyDescent="0.35">
      <c r="A89" s="35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17"/>
      <c r="AC89" s="14"/>
      <c r="AD89" s="4"/>
    </row>
    <row r="90" spans="1:37" x14ac:dyDescent="0.3">
      <c r="A90" s="35" t="s">
        <v>123</v>
      </c>
      <c r="B90" s="22"/>
      <c r="C90" s="22"/>
      <c r="D90" s="22"/>
      <c r="E90" s="22"/>
      <c r="F90" s="22">
        <f t="shared" ref="F90:W90" si="135">MIN(F4:F87)</f>
        <v>8.5736270235329908</v>
      </c>
      <c r="G90" s="22">
        <f t="shared" si="135"/>
        <v>8.5736270235329912E-2</v>
      </c>
      <c r="H90" s="22">
        <f t="shared" si="135"/>
        <v>575</v>
      </c>
      <c r="I90" s="22">
        <f t="shared" si="135"/>
        <v>9.4543223127537476E-3</v>
      </c>
      <c r="J90" s="22">
        <f t="shared" si="135"/>
        <v>1.8908644625507495E-2</v>
      </c>
      <c r="K90" s="22">
        <f t="shared" si="135"/>
        <v>0</v>
      </c>
      <c r="L90" s="22">
        <f t="shared" si="135"/>
        <v>0.91873658040111061</v>
      </c>
      <c r="M90" s="22">
        <f t="shared" si="135"/>
        <v>0.91873658040111061</v>
      </c>
      <c r="N90" s="22">
        <f t="shared" si="135"/>
        <v>3.1113677917942808</v>
      </c>
      <c r="O90" s="22">
        <f t="shared" si="135"/>
        <v>6.717079315964844E-2</v>
      </c>
      <c r="P90" s="22">
        <f t="shared" si="135"/>
        <v>0.19511773519901343</v>
      </c>
      <c r="Q90" s="22">
        <f t="shared" si="135"/>
        <v>4.3408006584252776</v>
      </c>
      <c r="R90" s="22">
        <f t="shared" si="135"/>
        <v>3.5273876951780765E-7</v>
      </c>
      <c r="S90" s="22">
        <f t="shared" si="135"/>
        <v>3.5273876951780767E-4</v>
      </c>
      <c r="T90" s="22">
        <f t="shared" si="135"/>
        <v>0.35742098441362619</v>
      </c>
      <c r="U90" s="22">
        <f t="shared" si="135"/>
        <v>0.88007244560177256</v>
      </c>
      <c r="V90" s="22">
        <f t="shared" si="135"/>
        <v>0.35742098441362619</v>
      </c>
      <c r="W90" s="22">
        <f t="shared" si="135"/>
        <v>0.3882394840438545</v>
      </c>
      <c r="X90" s="22">
        <f t="shared" ref="X90:Y90" si="136">MIN(X4:X87)</f>
        <v>3.5273876951780764E-10</v>
      </c>
      <c r="Y90" s="22">
        <f t="shared" si="136"/>
        <v>3.5273876951780764E-10</v>
      </c>
      <c r="Z90" s="22">
        <f t="shared" ref="Z90:AB90" si="137">MIN(Z4:Z87)</f>
        <v>0.54577329936765218</v>
      </c>
      <c r="AA90" s="22">
        <f t="shared" si="137"/>
        <v>1.0613709125252866</v>
      </c>
      <c r="AB90" s="17">
        <f t="shared" si="137"/>
        <v>4.9638698909475398E-3</v>
      </c>
      <c r="AC90" s="14"/>
      <c r="AG90" s="25" t="s">
        <v>19</v>
      </c>
      <c r="AH90" s="26"/>
      <c r="AI90" s="26"/>
      <c r="AJ90" s="26"/>
      <c r="AK90" s="27"/>
    </row>
    <row r="91" spans="1:37" x14ac:dyDescent="0.3">
      <c r="A91" s="35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17"/>
      <c r="AC91" s="14"/>
      <c r="AG91" s="28"/>
      <c r="AH91" s="29"/>
      <c r="AI91" s="29"/>
      <c r="AJ91" s="29"/>
      <c r="AK91" s="30"/>
    </row>
    <row r="92" spans="1:37" ht="15" thickBot="1" x14ac:dyDescent="0.35">
      <c r="A92" s="35" t="s">
        <v>124</v>
      </c>
      <c r="B92" s="22"/>
      <c r="C92" s="22"/>
      <c r="D92" s="22"/>
      <c r="E92" s="22"/>
      <c r="F92" s="22">
        <f t="shared" ref="F92:W92" si="138">MAX(F6:F89)</f>
        <v>75.192122756015806</v>
      </c>
      <c r="G92" s="22">
        <f t="shared" si="138"/>
        <v>0.75192122756015811</v>
      </c>
      <c r="H92" s="22">
        <f t="shared" si="138"/>
        <v>30374</v>
      </c>
      <c r="I92" s="22">
        <f t="shared" si="138"/>
        <v>7.535998486494154E-2</v>
      </c>
      <c r="J92" s="22">
        <f t="shared" si="138"/>
        <v>0.15071996972988308</v>
      </c>
      <c r="K92" s="22">
        <f t="shared" si="138"/>
        <v>0</v>
      </c>
      <c r="L92" s="22">
        <f t="shared" si="138"/>
        <v>4.437164852564214</v>
      </c>
      <c r="M92" s="22">
        <f t="shared" si="138"/>
        <v>4.437164852564214</v>
      </c>
      <c r="N92" s="22">
        <f t="shared" si="138"/>
        <v>19.643758186877012</v>
      </c>
      <c r="O92" s="22">
        <f t="shared" si="138"/>
        <v>0.59028042819843485</v>
      </c>
      <c r="P92" s="22">
        <f t="shared" si="138"/>
        <v>0.71822737023779981</v>
      </c>
      <c r="Q92" s="22">
        <f t="shared" si="138"/>
        <v>100.65611006406785</v>
      </c>
      <c r="R92" s="22">
        <f t="shared" si="138"/>
        <v>1.607924536154837E-4</v>
      </c>
      <c r="S92" s="22">
        <f t="shared" si="138"/>
        <v>0.16079245361548369</v>
      </c>
      <c r="T92" s="22">
        <f t="shared" si="138"/>
        <v>162.92679462507215</v>
      </c>
      <c r="U92" s="22">
        <f t="shared" si="138"/>
        <v>95.756338355032312</v>
      </c>
      <c r="V92" s="22">
        <f t="shared" si="138"/>
        <v>34.467217880836998</v>
      </c>
      <c r="W92" s="22">
        <f t="shared" si="138"/>
        <v>34.467217880836998</v>
      </c>
      <c r="X92" s="22">
        <f t="shared" ref="X92:Y92" si="139">MAX(X6:X89)</f>
        <v>1.6079245361548371E-7</v>
      </c>
      <c r="Y92" s="22">
        <f t="shared" si="139"/>
        <v>3.4015697326598035E-8</v>
      </c>
      <c r="Z92" s="22">
        <f t="shared" ref="Z92:AB92" si="140">MAX(Z6:Z89)</f>
        <v>2.0113802054822743</v>
      </c>
      <c r="AA92" s="22">
        <f t="shared" si="140"/>
        <v>112.48907293844924</v>
      </c>
      <c r="AB92" s="17">
        <f t="shared" si="140"/>
        <v>7.0699005429272539</v>
      </c>
      <c r="AC92" s="14"/>
      <c r="AG92" s="31"/>
      <c r="AH92" s="32"/>
      <c r="AI92" s="32"/>
      <c r="AJ92" s="32"/>
      <c r="AK92" s="33"/>
    </row>
    <row r="93" spans="1:37" ht="15" thickBot="1" x14ac:dyDescent="0.35">
      <c r="A93" s="23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8"/>
      <c r="AC93" s="14"/>
    </row>
  </sheetData>
  <mergeCells count="273">
    <mergeCell ref="Z92:Z93"/>
    <mergeCell ref="AA92:AA93"/>
    <mergeCell ref="AB92:AB93"/>
    <mergeCell ref="Z86:Z87"/>
    <mergeCell ref="AA86:AA87"/>
    <mergeCell ref="AB86:AB87"/>
    <mergeCell ref="Z88:Z89"/>
    <mergeCell ref="AA88:AA89"/>
    <mergeCell ref="AB88:AB89"/>
    <mergeCell ref="Z90:Z91"/>
    <mergeCell ref="AA90:AA91"/>
    <mergeCell ref="AB90:AB91"/>
    <mergeCell ref="U90:U91"/>
    <mergeCell ref="V90:V91"/>
    <mergeCell ref="W90:W91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A90:E91"/>
    <mergeCell ref="A92:E93"/>
    <mergeCell ref="F90:F91"/>
    <mergeCell ref="F92:F93"/>
    <mergeCell ref="G90:G91"/>
    <mergeCell ref="H90:H91"/>
    <mergeCell ref="I90:I91"/>
    <mergeCell ref="J90:J91"/>
    <mergeCell ref="K90:K91"/>
    <mergeCell ref="U88:U89"/>
    <mergeCell ref="S88:S89"/>
    <mergeCell ref="U2:U4"/>
    <mergeCell ref="U5:U7"/>
    <mergeCell ref="U8:U10"/>
    <mergeCell ref="U11:U13"/>
    <mergeCell ref="U14:U16"/>
    <mergeCell ref="U17:U19"/>
    <mergeCell ref="U20:U22"/>
    <mergeCell ref="U23:U25"/>
    <mergeCell ref="U26:U28"/>
    <mergeCell ref="U29:U31"/>
    <mergeCell ref="U32:U34"/>
    <mergeCell ref="U35:U37"/>
    <mergeCell ref="U38:U40"/>
    <mergeCell ref="U41:U43"/>
    <mergeCell ref="U44:U46"/>
    <mergeCell ref="U47:U49"/>
    <mergeCell ref="U50:U52"/>
    <mergeCell ref="U53:U55"/>
    <mergeCell ref="U56:U58"/>
    <mergeCell ref="U59:U61"/>
    <mergeCell ref="U62:U64"/>
    <mergeCell ref="U65:U67"/>
    <mergeCell ref="U68:U70"/>
    <mergeCell ref="AK74:AK76"/>
    <mergeCell ref="AK77:AK79"/>
    <mergeCell ref="AK80:AK82"/>
    <mergeCell ref="AK83:AK85"/>
    <mergeCell ref="AG90:AK92"/>
    <mergeCell ref="AK56:AK58"/>
    <mergeCell ref="AK59:AK61"/>
    <mergeCell ref="AK62:AK64"/>
    <mergeCell ref="AK65:AK67"/>
    <mergeCell ref="AK68:AK70"/>
    <mergeCell ref="AK71:AK73"/>
    <mergeCell ref="AJ74:AJ76"/>
    <mergeCell ref="AJ77:AJ79"/>
    <mergeCell ref="AJ80:AJ82"/>
    <mergeCell ref="AJ83:AJ85"/>
    <mergeCell ref="AJ65:AJ67"/>
    <mergeCell ref="AJ68:AJ70"/>
    <mergeCell ref="AJ71:AJ73"/>
    <mergeCell ref="AI74:AI76"/>
    <mergeCell ref="AI77:AI79"/>
    <mergeCell ref="AI80:AI82"/>
    <mergeCell ref="AI83:AI85"/>
    <mergeCell ref="W80:W82"/>
    <mergeCell ref="AK38:AK40"/>
    <mergeCell ref="AK41:AK43"/>
    <mergeCell ref="AK44:AK46"/>
    <mergeCell ref="AK47:AK49"/>
    <mergeCell ref="AK50:AK52"/>
    <mergeCell ref="AK53:AK55"/>
    <mergeCell ref="AK20:AK22"/>
    <mergeCell ref="AK23:AK25"/>
    <mergeCell ref="AK26:AK28"/>
    <mergeCell ref="AK29:AK31"/>
    <mergeCell ref="AK32:AK34"/>
    <mergeCell ref="AK35:AK37"/>
    <mergeCell ref="AK2:AK4"/>
    <mergeCell ref="AK5:AK7"/>
    <mergeCell ref="AK8:AK10"/>
    <mergeCell ref="AK11:AK13"/>
    <mergeCell ref="AK14:AK16"/>
    <mergeCell ref="AK17:AK19"/>
    <mergeCell ref="AJ56:AJ58"/>
    <mergeCell ref="AJ59:AJ61"/>
    <mergeCell ref="AJ62:AJ64"/>
    <mergeCell ref="AJ38:AJ40"/>
    <mergeCell ref="AJ41:AJ43"/>
    <mergeCell ref="AJ44:AJ46"/>
    <mergeCell ref="AJ47:AJ49"/>
    <mergeCell ref="AJ50:AJ52"/>
    <mergeCell ref="AJ53:AJ55"/>
    <mergeCell ref="AJ20:AJ22"/>
    <mergeCell ref="AJ23:AJ25"/>
    <mergeCell ref="AJ26:AJ28"/>
    <mergeCell ref="AJ29:AJ31"/>
    <mergeCell ref="AJ32:AJ34"/>
    <mergeCell ref="AJ35:AJ37"/>
    <mergeCell ref="AJ2:AJ4"/>
    <mergeCell ref="AJ5:AJ7"/>
    <mergeCell ref="AJ8:AJ10"/>
    <mergeCell ref="AJ11:AJ13"/>
    <mergeCell ref="AJ14:AJ16"/>
    <mergeCell ref="AJ17:AJ19"/>
    <mergeCell ref="AI56:AI58"/>
    <mergeCell ref="AI59:AI61"/>
    <mergeCell ref="AI62:AI64"/>
    <mergeCell ref="AI65:AI67"/>
    <mergeCell ref="AI68:AI70"/>
    <mergeCell ref="AI71:AI73"/>
    <mergeCell ref="AI38:AI40"/>
    <mergeCell ref="AI41:AI43"/>
    <mergeCell ref="AI44:AI46"/>
    <mergeCell ref="AI47:AI49"/>
    <mergeCell ref="AI50:AI52"/>
    <mergeCell ref="AI53:AI55"/>
    <mergeCell ref="AI20:AI22"/>
    <mergeCell ref="AI23:AI25"/>
    <mergeCell ref="AI26:AI28"/>
    <mergeCell ref="AI29:AI31"/>
    <mergeCell ref="AI32:AI34"/>
    <mergeCell ref="AI35:AI37"/>
    <mergeCell ref="AI2:AI4"/>
    <mergeCell ref="AI5:AI7"/>
    <mergeCell ref="AI8:AI10"/>
    <mergeCell ref="AI11:AI13"/>
    <mergeCell ref="AI14:AI16"/>
    <mergeCell ref="AI17:AI19"/>
    <mergeCell ref="M86:M87"/>
    <mergeCell ref="Q86:Q87"/>
    <mergeCell ref="R86:R87"/>
    <mergeCell ref="S86:S87"/>
    <mergeCell ref="U71:U73"/>
    <mergeCell ref="U74:U76"/>
    <mergeCell ref="U77:U79"/>
    <mergeCell ref="U80:U82"/>
    <mergeCell ref="U83:U85"/>
    <mergeCell ref="U86:U87"/>
    <mergeCell ref="T86:T87"/>
    <mergeCell ref="W59:W61"/>
    <mergeCell ref="W62:W64"/>
    <mergeCell ref="W65:W67"/>
    <mergeCell ref="W68:W70"/>
    <mergeCell ref="W71:W73"/>
    <mergeCell ref="W74:W76"/>
    <mergeCell ref="W77:W79"/>
    <mergeCell ref="R88:R89"/>
    <mergeCell ref="A86:E87"/>
    <mergeCell ref="A88:E89"/>
    <mergeCell ref="F86:F87"/>
    <mergeCell ref="I86:I87"/>
    <mergeCell ref="K86:K87"/>
    <mergeCell ref="L86:L87"/>
    <mergeCell ref="J86:J87"/>
    <mergeCell ref="J88:J89"/>
    <mergeCell ref="N86:N87"/>
    <mergeCell ref="P86:P87"/>
    <mergeCell ref="G88:G89"/>
    <mergeCell ref="H88:H89"/>
    <mergeCell ref="N88:N89"/>
    <mergeCell ref="P88:P89"/>
    <mergeCell ref="O86:O87"/>
    <mergeCell ref="O88:O89"/>
    <mergeCell ref="C77:C79"/>
    <mergeCell ref="C80:C82"/>
    <mergeCell ref="C83:C85"/>
    <mergeCell ref="F88:F89"/>
    <mergeCell ref="I88:I89"/>
    <mergeCell ref="K88:K89"/>
    <mergeCell ref="L88:L89"/>
    <mergeCell ref="M88:M89"/>
    <mergeCell ref="Q88:Q89"/>
    <mergeCell ref="G86:G87"/>
    <mergeCell ref="H86:H87"/>
    <mergeCell ref="C38:C40"/>
    <mergeCell ref="C41:C43"/>
    <mergeCell ref="A20:A43"/>
    <mergeCell ref="C44:C46"/>
    <mergeCell ref="C47:C49"/>
    <mergeCell ref="C50:C52"/>
    <mergeCell ref="C53:C55"/>
    <mergeCell ref="C56:C58"/>
    <mergeCell ref="C59:C61"/>
    <mergeCell ref="C20:C22"/>
    <mergeCell ref="C23:C25"/>
    <mergeCell ref="C26:C28"/>
    <mergeCell ref="C29:C31"/>
    <mergeCell ref="C32:C34"/>
    <mergeCell ref="C35:C37"/>
    <mergeCell ref="C62:C64"/>
    <mergeCell ref="C65:C67"/>
    <mergeCell ref="A44:A64"/>
    <mergeCell ref="A65:A85"/>
    <mergeCell ref="C68:C70"/>
    <mergeCell ref="C71:C73"/>
    <mergeCell ref="C74:C76"/>
    <mergeCell ref="W53:W55"/>
    <mergeCell ref="W56:W58"/>
    <mergeCell ref="C2:C4"/>
    <mergeCell ref="C5:C7"/>
    <mergeCell ref="C8:C10"/>
    <mergeCell ref="C11:C13"/>
    <mergeCell ref="C14:C16"/>
    <mergeCell ref="C17:C19"/>
    <mergeCell ref="A2:A19"/>
    <mergeCell ref="V86:V87"/>
    <mergeCell ref="V88:V89"/>
    <mergeCell ref="T88:T89"/>
    <mergeCell ref="B2:B19"/>
    <mergeCell ref="B20:B43"/>
    <mergeCell ref="B44:B64"/>
    <mergeCell ref="B65:B85"/>
    <mergeCell ref="W2:W4"/>
    <mergeCell ref="W5:W7"/>
    <mergeCell ref="W8:W10"/>
    <mergeCell ref="W11:W13"/>
    <mergeCell ref="W14:W16"/>
    <mergeCell ref="W17:W19"/>
    <mergeCell ref="W20:W22"/>
    <mergeCell ref="W23:W25"/>
    <mergeCell ref="W26:W28"/>
    <mergeCell ref="W29:W31"/>
    <mergeCell ref="W32:W34"/>
    <mergeCell ref="W35:W37"/>
    <mergeCell ref="W38:W40"/>
    <mergeCell ref="W41:W43"/>
    <mergeCell ref="W44:W46"/>
    <mergeCell ref="W47:W49"/>
    <mergeCell ref="W50:W52"/>
    <mergeCell ref="X86:X87"/>
    <mergeCell ref="X88:X89"/>
    <mergeCell ref="X90:X91"/>
    <mergeCell ref="X92:X93"/>
    <mergeCell ref="Y86:Y87"/>
    <mergeCell ref="Y88:Y89"/>
    <mergeCell ref="Y90:Y91"/>
    <mergeCell ref="Y92:Y93"/>
    <mergeCell ref="W83:W85"/>
    <mergeCell ref="W86:W87"/>
    <mergeCell ref="W88:W8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UDIMED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Alminnawi</dc:creator>
  <cp:lastModifiedBy>Ahmad Alminnawi</cp:lastModifiedBy>
  <dcterms:created xsi:type="dcterms:W3CDTF">2025-08-19T17:48:27Z</dcterms:created>
  <dcterms:modified xsi:type="dcterms:W3CDTF">2025-09-10T09:14:24Z</dcterms:modified>
</cp:coreProperties>
</file>